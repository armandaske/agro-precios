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-G3\Downloads\"/>
    </mc:Choice>
  </mc:AlternateContent>
  <bookViews>
    <workbookView xWindow="0" yWindow="0" windowWidth="23040" windowHeight="9252" activeTab="9"/>
  </bookViews>
  <sheets>
    <sheet name="Ajo" sheetId="2" r:id="rId1"/>
    <sheet name="Tomate rojo" sheetId="8" r:id="rId2"/>
    <sheet name="Aguacate" sheetId="9" r:id="rId3"/>
    <sheet name="Cebolla" sheetId="10" r:id="rId4"/>
    <sheet name="Calabacita" sheetId="11" r:id="rId5"/>
    <sheet name="Fresa" sheetId="12" r:id="rId6"/>
    <sheet name="Frijol" sheetId="13" r:id="rId7"/>
    <sheet name="Elote" sheetId="14" r:id="rId8"/>
    <sheet name="Lenteja" sheetId="15" r:id="rId9"/>
    <sheet name="Limón" sheetId="21" r:id="rId10"/>
    <sheet name="Maiz" sheetId="16" r:id="rId11"/>
    <sheet name="Mango" sheetId="17" r:id="rId12"/>
    <sheet name="Naranja" sheetId="18" r:id="rId13"/>
    <sheet name="Papa" sheetId="19" r:id="rId14"/>
    <sheet name="Chile verde" sheetId="20" r:id="rId15"/>
    <sheet name="todos cultivos" sheetId="5" r:id="rId16"/>
    <sheet name="top 15" sheetId="6" r:id="rId17"/>
  </sheets>
  <calcPr calcId="152511"/>
</workbook>
</file>

<file path=xl/calcChain.xml><?xml version="1.0" encoding="utf-8"?>
<calcChain xmlns="http://schemas.openxmlformats.org/spreadsheetml/2006/main">
  <c r="J30" i="2" l="1"/>
  <c r="K3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10" i="2"/>
</calcChain>
</file>

<file path=xl/sharedStrings.xml><?xml version="1.0" encoding="utf-8"?>
<sst xmlns="http://schemas.openxmlformats.org/spreadsheetml/2006/main" count="834" uniqueCount="229">
  <si>
    <r>
      <t>Año:</t>
    </r>
    <r>
      <rPr>
        <sz val="10"/>
        <color theme="1"/>
        <rFont val="Calibri"/>
        <family val="2"/>
        <scheme val="minor"/>
      </rPr>
      <t xml:space="preserve"> 2024</t>
    </r>
  </si>
  <si>
    <t>Producción Agrícola</t>
  </si>
  <si>
    <r>
      <t>Ciclo:</t>
    </r>
    <r>
      <rPr>
        <sz val="10"/>
        <color theme="1"/>
        <rFont val="Calibri"/>
        <family val="2"/>
        <scheme val="minor"/>
      </rPr>
      <t xml:space="preserve"> Ciclicos - Perennes</t>
    </r>
  </si>
  <si>
    <r>
      <t>Modalidad:</t>
    </r>
    <r>
      <rPr>
        <sz val="10"/>
        <color theme="1"/>
        <rFont val="Calibri"/>
        <family val="2"/>
        <scheme val="minor"/>
      </rPr>
      <t xml:space="preserve"> Riego + Temporal</t>
    </r>
  </si>
  <si>
    <r>
      <t>Cultivo:</t>
    </r>
    <r>
      <rPr>
        <sz val="10"/>
        <color theme="1"/>
        <rFont val="Calibri"/>
        <family val="2"/>
        <scheme val="minor"/>
      </rPr>
      <t xml:space="preserve"> Ajo (ton)</t>
    </r>
  </si>
  <si>
    <t>Entidad</t>
  </si>
  <si>
    <t>Superficie</t>
  </si>
  <si>
    <t>(ha)</t>
  </si>
  <si>
    <t>Producción</t>
  </si>
  <si>
    <t>Rendimiento</t>
  </si>
  <si>
    <t>(udm/ha)</t>
  </si>
  <si>
    <t>PMR</t>
  </si>
  <si>
    <t>($/udm)</t>
  </si>
  <si>
    <t>Valor Producción</t>
  </si>
  <si>
    <t>(miles de Pesos)</t>
  </si>
  <si>
    <t>Sembrada</t>
  </si>
  <si>
    <t>Cosechada</t>
  </si>
  <si>
    <t>Siniestrada</t>
  </si>
  <si>
    <t>Aguascalientes</t>
  </si>
  <si>
    <t>Baja California</t>
  </si>
  <si>
    <t>Baja California Sur</t>
  </si>
  <si>
    <t>Coahuila</t>
  </si>
  <si>
    <t>Chihuahua</t>
  </si>
  <si>
    <t>Guanajuato</t>
  </si>
  <si>
    <t>Guerrero</t>
  </si>
  <si>
    <t>Hidalgo</t>
  </si>
  <si>
    <t>Jalisco</t>
  </si>
  <si>
    <t>Michoacán</t>
  </si>
  <si>
    <t>Nayarit</t>
  </si>
  <si>
    <t>Nuevo León</t>
  </si>
  <si>
    <t>Oaxaca</t>
  </si>
  <si>
    <t>Puebla</t>
  </si>
  <si>
    <t>Querétaro</t>
  </si>
  <si>
    <t>San Luis Potosí</t>
  </si>
  <si>
    <t>Sonora</t>
  </si>
  <si>
    <t>Tlaxcala</t>
  </si>
  <si>
    <t>Veracruz</t>
  </si>
  <si>
    <t>Zacatecas</t>
  </si>
  <si>
    <t>Total</t>
  </si>
  <si>
    <t>produccion/rendimiento</t>
  </si>
  <si>
    <t>Aceituna</t>
  </si>
  <si>
    <t>Acelga</t>
  </si>
  <si>
    <t>Achiote</t>
  </si>
  <si>
    <t>Agave</t>
  </si>
  <si>
    <t>Aguacate</t>
  </si>
  <si>
    <t>Ajo</t>
  </si>
  <si>
    <t>Ajonjolí</t>
  </si>
  <si>
    <t>Albahaca</t>
  </si>
  <si>
    <t>Alcachofa</t>
  </si>
  <si>
    <t>Alfalfa</t>
  </si>
  <si>
    <t>Algodón hueso</t>
  </si>
  <si>
    <t>Alpiste grano</t>
  </si>
  <si>
    <t>Amaranto</t>
  </si>
  <si>
    <t>Apio</t>
  </si>
  <si>
    <t>Arándano</t>
  </si>
  <si>
    <t>Arroz palay</t>
  </si>
  <si>
    <t>Avena forrajera en verde</t>
  </si>
  <si>
    <t>Avena grano</t>
  </si>
  <si>
    <t>Berenjena</t>
  </si>
  <si>
    <t>Betabel</t>
  </si>
  <si>
    <t>Brócoli</t>
  </si>
  <si>
    <t>Cacahuate</t>
  </si>
  <si>
    <t>Cacao</t>
  </si>
  <si>
    <t>Café cereza</t>
  </si>
  <si>
    <t>Calabacita</t>
  </si>
  <si>
    <t>Calabaza</t>
  </si>
  <si>
    <t>Calabaza semilla o chihua</t>
  </si>
  <si>
    <t>Camote</t>
  </si>
  <si>
    <t>Canola</t>
  </si>
  <si>
    <t>Canola forrajera</t>
  </si>
  <si>
    <t>Caña de azúcar</t>
  </si>
  <si>
    <t>Caña de azúcar otro uso</t>
  </si>
  <si>
    <t>Cebada forrajera en verde</t>
  </si>
  <si>
    <t>Cebada grano</t>
  </si>
  <si>
    <t>Cebolla</t>
  </si>
  <si>
    <t>Centeno grano</t>
  </si>
  <si>
    <t>Cereza</t>
  </si>
  <si>
    <t>Chabacano</t>
  </si>
  <si>
    <t>Chayote</t>
  </si>
  <si>
    <t>Chía</t>
  </si>
  <si>
    <t>Chícharo</t>
  </si>
  <si>
    <t>Chilacayote</t>
  </si>
  <si>
    <t>Chile verde</t>
  </si>
  <si>
    <t>Chirimoya</t>
  </si>
  <si>
    <t>Cilantro</t>
  </si>
  <si>
    <t>Ciruela</t>
  </si>
  <si>
    <t>Coco fruta</t>
  </si>
  <si>
    <t>Col (repollo)</t>
  </si>
  <si>
    <t>Col de bruselas</t>
  </si>
  <si>
    <t>Coliflor</t>
  </si>
  <si>
    <t>Comino</t>
  </si>
  <si>
    <t>Dátil</t>
  </si>
  <si>
    <t>Durazno</t>
  </si>
  <si>
    <t>Ejote</t>
  </si>
  <si>
    <t>Elote</t>
  </si>
  <si>
    <t>Eneldo</t>
  </si>
  <si>
    <t>Epazote</t>
  </si>
  <si>
    <t>Espárrago</t>
  </si>
  <si>
    <t>Espinaca</t>
  </si>
  <si>
    <t>Eucalipto</t>
  </si>
  <si>
    <t>Frambuesa</t>
  </si>
  <si>
    <t>Fresa</t>
  </si>
  <si>
    <t>Frijol</t>
  </si>
  <si>
    <t>Frijol forrajero</t>
  </si>
  <si>
    <t>Frijol x pelón</t>
  </si>
  <si>
    <t>Garbanzo forrajero</t>
  </si>
  <si>
    <t>Garbanzo grano</t>
  </si>
  <si>
    <t>Garbanzo porquero</t>
  </si>
  <si>
    <t>Granada</t>
  </si>
  <si>
    <t>Guaje</t>
  </si>
  <si>
    <t>Guamúchil</t>
  </si>
  <si>
    <t>Guanábana</t>
  </si>
  <si>
    <t>Guayaba</t>
  </si>
  <si>
    <t>Haba grano</t>
  </si>
  <si>
    <t>Haba verde</t>
  </si>
  <si>
    <t>Hierbabuena</t>
  </si>
  <si>
    <t>Higo</t>
  </si>
  <si>
    <t>Hongos, setas y champiñones</t>
  </si>
  <si>
    <t>Hortalizas</t>
  </si>
  <si>
    <t>Huauzontle</t>
  </si>
  <si>
    <t>Jamaica</t>
  </si>
  <si>
    <t>Jengibre</t>
  </si>
  <si>
    <t>Jícama</t>
  </si>
  <si>
    <t>Kale</t>
  </si>
  <si>
    <t>Lechuga</t>
  </si>
  <si>
    <t>Lenteja</t>
  </si>
  <si>
    <t>Lima</t>
  </si>
  <si>
    <t>Limón</t>
  </si>
  <si>
    <t>Limón real</t>
  </si>
  <si>
    <t>Linaza</t>
  </si>
  <si>
    <t>Litchi</t>
  </si>
  <si>
    <t>Macadamia</t>
  </si>
  <si>
    <t>Maguey</t>
  </si>
  <si>
    <t>Maguey forrajero</t>
  </si>
  <si>
    <t>Maguey mixiotero</t>
  </si>
  <si>
    <t>Maguey pulquero</t>
  </si>
  <si>
    <t>Maíz forrajero en verde</t>
  </si>
  <si>
    <t>Maíz grano</t>
  </si>
  <si>
    <t>Maíz palomero</t>
  </si>
  <si>
    <t>Mamey</t>
  </si>
  <si>
    <t>Mandarina</t>
  </si>
  <si>
    <t>Mango</t>
  </si>
  <si>
    <t>Manzana</t>
  </si>
  <si>
    <t>Manzanilla</t>
  </si>
  <si>
    <t>Maracuyá</t>
  </si>
  <si>
    <t>Melón</t>
  </si>
  <si>
    <t>Membrillo</t>
  </si>
  <si>
    <t>Menta</t>
  </si>
  <si>
    <t>Moringa</t>
  </si>
  <si>
    <t>Nabo</t>
  </si>
  <si>
    <t>Nabo forrajero</t>
  </si>
  <si>
    <t>Nanche</t>
  </si>
  <si>
    <t>Naranja</t>
  </si>
  <si>
    <t>Níspero</t>
  </si>
  <si>
    <t>Noni</t>
  </si>
  <si>
    <t>Nopal forrajero</t>
  </si>
  <si>
    <t>Nopalitos</t>
  </si>
  <si>
    <t>Nuez</t>
  </si>
  <si>
    <t>Orégano</t>
  </si>
  <si>
    <t>Papa</t>
  </si>
  <si>
    <t>Pápalo</t>
  </si>
  <si>
    <t>Papaya</t>
  </si>
  <si>
    <t>Pepino</t>
  </si>
  <si>
    <t>Pera</t>
  </si>
  <si>
    <t>Perejil</t>
  </si>
  <si>
    <t>Pimienta</t>
  </si>
  <si>
    <t>Piña</t>
  </si>
  <si>
    <t>Piñón</t>
  </si>
  <si>
    <t>Pistache</t>
  </si>
  <si>
    <t>Pitahaya</t>
  </si>
  <si>
    <t>Pitaya</t>
  </si>
  <si>
    <t>Plátano</t>
  </si>
  <si>
    <t>Poro (leek)</t>
  </si>
  <si>
    <t>Rábano</t>
  </si>
  <si>
    <t>Rambután</t>
  </si>
  <si>
    <t>Romerito</t>
  </si>
  <si>
    <t>Romero</t>
  </si>
  <si>
    <t>Sandía</t>
  </si>
  <si>
    <t>Soya</t>
  </si>
  <si>
    <t>Stevia</t>
  </si>
  <si>
    <t>Tabaco</t>
  </si>
  <si>
    <t>Tamarindo</t>
  </si>
  <si>
    <t>Té limón</t>
  </si>
  <si>
    <t>Tejocote</t>
  </si>
  <si>
    <t>Tomate rojo (jitomate)</t>
  </si>
  <si>
    <t>Tomate verde</t>
  </si>
  <si>
    <t>Tomillo</t>
  </si>
  <si>
    <t>Toronja (pomelo)</t>
  </si>
  <si>
    <t>Trigo forrajero verde</t>
  </si>
  <si>
    <t>Trigo grano</t>
  </si>
  <si>
    <t>Trigo ornamental</t>
  </si>
  <si>
    <t>Tuna</t>
  </si>
  <si>
    <t>Uva</t>
  </si>
  <si>
    <t>Vainilla</t>
  </si>
  <si>
    <t>Verdolaga</t>
  </si>
  <si>
    <t>Yuca alimenticia</t>
  </si>
  <si>
    <t>Zanahoria</t>
  </si>
  <si>
    <t>Zapote</t>
  </si>
  <si>
    <t>Zarzamora</t>
  </si>
  <si>
    <t>($/Tons)</t>
  </si>
  <si>
    <t>(Tons/ha)</t>
  </si>
  <si>
    <t>Precio /Kg</t>
  </si>
  <si>
    <t>Colima</t>
  </si>
  <si>
    <t>Chiapas</t>
  </si>
  <si>
    <t>Sinaloa</t>
  </si>
  <si>
    <r>
      <t>Cultivo:</t>
    </r>
    <r>
      <rPr>
        <sz val="10"/>
        <color theme="1"/>
        <rFont val="Calibri"/>
        <family val="2"/>
        <scheme val="minor"/>
      </rPr>
      <t xml:space="preserve"> Tomate rojo (jitomate) (ton)</t>
    </r>
  </si>
  <si>
    <t>Campeche</t>
  </si>
  <si>
    <t>Ciudad de México</t>
  </si>
  <si>
    <t>Durango</t>
  </si>
  <si>
    <t>México</t>
  </si>
  <si>
    <t>Morelos</t>
  </si>
  <si>
    <t>Quintana Roo</t>
  </si>
  <si>
    <t>Tabasco</t>
  </si>
  <si>
    <t>Tamaulipas</t>
  </si>
  <si>
    <t>Yucatán</t>
  </si>
  <si>
    <r>
      <t>Cultivo:</t>
    </r>
    <r>
      <rPr>
        <sz val="10"/>
        <color theme="1"/>
        <rFont val="Calibri"/>
        <family val="2"/>
        <scheme val="minor"/>
      </rPr>
      <t xml:space="preserve"> Aguacate (ton)</t>
    </r>
  </si>
  <si>
    <r>
      <t>Cultivo:</t>
    </r>
    <r>
      <rPr>
        <sz val="10"/>
        <color theme="1"/>
        <rFont val="Calibri"/>
        <family val="2"/>
        <scheme val="minor"/>
      </rPr>
      <t xml:space="preserve"> Cebolla (ton)</t>
    </r>
  </si>
  <si>
    <r>
      <t>Cultivo:</t>
    </r>
    <r>
      <rPr>
        <sz val="10"/>
        <color theme="1"/>
        <rFont val="Calibri"/>
        <family val="2"/>
        <scheme val="minor"/>
      </rPr>
      <t xml:space="preserve"> Calabacita (ton)</t>
    </r>
  </si>
  <si>
    <r>
      <t>Cultivo:</t>
    </r>
    <r>
      <rPr>
        <sz val="10"/>
        <color theme="1"/>
        <rFont val="Calibri"/>
        <family val="2"/>
        <scheme val="minor"/>
      </rPr>
      <t xml:space="preserve"> Fresa (ton)</t>
    </r>
  </si>
  <si>
    <r>
      <t>Cultivo:</t>
    </r>
    <r>
      <rPr>
        <sz val="10"/>
        <color theme="1"/>
        <rFont val="Calibri"/>
        <family val="2"/>
        <scheme val="minor"/>
      </rPr>
      <t xml:space="preserve"> Frijol (ton)</t>
    </r>
  </si>
  <si>
    <r>
      <t>Cultivo:</t>
    </r>
    <r>
      <rPr>
        <sz val="10"/>
        <color theme="1"/>
        <rFont val="Calibri"/>
        <family val="2"/>
        <scheme val="minor"/>
      </rPr>
      <t xml:space="preserve"> Elote (ton)</t>
    </r>
  </si>
  <si>
    <r>
      <t>Cultivo:</t>
    </r>
    <r>
      <rPr>
        <sz val="10"/>
        <color theme="1"/>
        <rFont val="Calibri"/>
        <family val="2"/>
        <scheme val="minor"/>
      </rPr>
      <t xml:space="preserve"> Lenteja (ton)</t>
    </r>
  </si>
  <si>
    <r>
      <t>Cultivo:</t>
    </r>
    <r>
      <rPr>
        <sz val="10"/>
        <color theme="1"/>
        <rFont val="Calibri"/>
        <family val="2"/>
        <scheme val="minor"/>
      </rPr>
      <t xml:space="preserve"> Maíz grano (ton)</t>
    </r>
  </si>
  <si>
    <r>
      <t>Cultivo:</t>
    </r>
    <r>
      <rPr>
        <sz val="10"/>
        <color theme="1"/>
        <rFont val="Calibri"/>
        <family val="2"/>
        <scheme val="minor"/>
      </rPr>
      <t xml:space="preserve"> Mango (ton)</t>
    </r>
  </si>
  <si>
    <r>
      <t>Cultivo:</t>
    </r>
    <r>
      <rPr>
        <sz val="10"/>
        <color theme="1"/>
        <rFont val="Calibri"/>
        <family val="2"/>
        <scheme val="minor"/>
      </rPr>
      <t xml:space="preserve"> Naranja (ton)</t>
    </r>
  </si>
  <si>
    <r>
      <t>Cultivo:</t>
    </r>
    <r>
      <rPr>
        <sz val="10"/>
        <color theme="1"/>
        <rFont val="Calibri"/>
        <family val="2"/>
        <scheme val="minor"/>
      </rPr>
      <t xml:space="preserve"> Papa (ton)</t>
    </r>
  </si>
  <si>
    <r>
      <t>Cultivo:</t>
    </r>
    <r>
      <rPr>
        <sz val="10"/>
        <color theme="1"/>
        <rFont val="Calibri"/>
        <family val="2"/>
        <scheme val="minor"/>
      </rPr>
      <t xml:space="preserve"> Chile verde (ton)</t>
    </r>
  </si>
  <si>
    <t>Limon</t>
  </si>
  <si>
    <r>
      <t>Cultivo:</t>
    </r>
    <r>
      <rPr>
        <sz val="10"/>
        <color theme="1"/>
        <rFont val="Calibri"/>
        <family val="2"/>
        <scheme val="minor"/>
      </rPr>
      <t xml:space="preserve"> Limón (ton)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</si>
</sst>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38E5D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1">
    <xf numFmtId="0" fontId="0" fillId="0" borderId="0" xfId="0"/>
    <xf numFmtId="0" fontId="19" fillId="0" borderId="0" xfId="0" applyFont="1"/>
    <xf numFmtId="0" fontId="20" fillId="33" borderId="11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4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0" fillId="0" borderId="0" xfId="0"/>
    <xf numFmtId="0" fontId="19" fillId="0" borderId="0" xfId="0" applyFont="1"/>
    <xf numFmtId="0" fontId="20" fillId="33" borderId="11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4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0" fillId="0" borderId="0" xfId="0"/>
    <xf numFmtId="0" fontId="19" fillId="0" borderId="0" xfId="0" applyFont="1"/>
    <xf numFmtId="0" fontId="20" fillId="33" borderId="11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4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0" fillId="0" borderId="0" xfId="0"/>
    <xf numFmtId="0" fontId="19" fillId="0" borderId="0" xfId="0" applyFont="1"/>
    <xf numFmtId="0" fontId="20" fillId="33" borderId="11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4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0" fillId="0" borderId="0" xfId="0"/>
    <xf numFmtId="0" fontId="19" fillId="0" borderId="0" xfId="0" applyFont="1"/>
    <xf numFmtId="0" fontId="20" fillId="33" borderId="11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4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0" fillId="0" borderId="0" xfId="0"/>
    <xf numFmtId="0" fontId="19" fillId="0" borderId="0" xfId="0" applyFont="1"/>
    <xf numFmtId="0" fontId="20" fillId="33" borderId="11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4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0" fillId="0" borderId="0" xfId="0"/>
    <xf numFmtId="0" fontId="19" fillId="0" borderId="0" xfId="0" applyFont="1"/>
    <xf numFmtId="0" fontId="20" fillId="33" borderId="11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4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0" fillId="0" borderId="0" xfId="0"/>
    <xf numFmtId="0" fontId="19" fillId="0" borderId="0" xfId="0" applyFont="1"/>
    <xf numFmtId="0" fontId="20" fillId="33" borderId="11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4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0" fillId="0" borderId="0" xfId="0"/>
    <xf numFmtId="0" fontId="19" fillId="0" borderId="0" xfId="0" applyFont="1"/>
    <xf numFmtId="0" fontId="20" fillId="33" borderId="11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4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0" fillId="0" borderId="0" xfId="0"/>
    <xf numFmtId="0" fontId="19" fillId="0" borderId="0" xfId="0" applyFont="1"/>
    <xf numFmtId="0" fontId="20" fillId="33" borderId="11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4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0" fillId="0" borderId="0" xfId="0"/>
    <xf numFmtId="0" fontId="19" fillId="0" borderId="0" xfId="0" applyFont="1"/>
    <xf numFmtId="0" fontId="20" fillId="33" borderId="11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4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0" fillId="0" borderId="0" xfId="0"/>
    <xf numFmtId="0" fontId="19" fillId="0" borderId="0" xfId="0" applyFont="1"/>
    <xf numFmtId="0" fontId="20" fillId="33" borderId="11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4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0" fillId="0" borderId="0" xfId="0"/>
    <xf numFmtId="0" fontId="19" fillId="0" borderId="0" xfId="0" applyFont="1"/>
    <xf numFmtId="0" fontId="20" fillId="33" borderId="11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4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0" fillId="0" borderId="0" xfId="0"/>
    <xf numFmtId="0" fontId="19" fillId="0" borderId="0" xfId="0" applyFont="1"/>
    <xf numFmtId="0" fontId="20" fillId="33" borderId="11" xfId="0" applyFont="1" applyFill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4" fontId="19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showGridLines="0" workbookViewId="0">
      <selection activeCell="G32" sqref="G32"/>
    </sheetView>
  </sheetViews>
  <sheetFormatPr defaultRowHeight="14.4" x14ac:dyDescent="0.3"/>
  <cols>
    <col min="1" max="1" width="3" customWidth="1"/>
    <col min="2" max="2" width="15.109375" bestFit="1" customWidth="1"/>
    <col min="4" max="4" width="9.33203125" bestFit="1" customWidth="1"/>
    <col min="5" max="5" width="9.6640625" bestFit="1" customWidth="1"/>
    <col min="6" max="6" width="10" bestFit="1" customWidth="1"/>
    <col min="7" max="7" width="11.21875" bestFit="1" customWidth="1"/>
    <col min="8" max="8" width="9" bestFit="1" customWidth="1"/>
    <col min="9" max="9" width="14.33203125" bestFit="1" customWidth="1"/>
    <col min="10" max="10" width="11.109375" customWidth="1"/>
    <col min="11" max="11" width="10.5546875" customWidth="1"/>
  </cols>
  <sheetData>
    <row r="1" spans="1:11" x14ac:dyDescent="0.3">
      <c r="A1" s="1" t="s">
        <v>0</v>
      </c>
    </row>
    <row r="2" spans="1:11" x14ac:dyDescent="0.3">
      <c r="A2" s="1" t="s">
        <v>1</v>
      </c>
    </row>
    <row r="3" spans="1:11" x14ac:dyDescent="0.3">
      <c r="A3" s="1" t="s">
        <v>2</v>
      </c>
    </row>
    <row r="4" spans="1:11" x14ac:dyDescent="0.3">
      <c r="A4" s="1" t="s">
        <v>3</v>
      </c>
    </row>
    <row r="5" spans="1:11" x14ac:dyDescent="0.3">
      <c r="A5" s="1" t="s">
        <v>4</v>
      </c>
    </row>
    <row r="7" spans="1:11" ht="14.4" customHeight="1" x14ac:dyDescent="0.3">
      <c r="A7" s="132"/>
      <c r="B7" s="132" t="s">
        <v>5</v>
      </c>
      <c r="C7" s="135" t="s">
        <v>6</v>
      </c>
      <c r="D7" s="136"/>
      <c r="E7" s="137"/>
      <c r="F7" s="132" t="s">
        <v>8</v>
      </c>
      <c r="G7" s="2" t="s">
        <v>9</v>
      </c>
      <c r="H7" s="2" t="s">
        <v>11</v>
      </c>
      <c r="I7" s="2" t="s">
        <v>13</v>
      </c>
      <c r="J7" s="132" t="s">
        <v>201</v>
      </c>
      <c r="K7" s="132" t="s">
        <v>39</v>
      </c>
    </row>
    <row r="8" spans="1:11" x14ac:dyDescent="0.3">
      <c r="A8" s="133"/>
      <c r="B8" s="133"/>
      <c r="C8" s="138" t="s">
        <v>7</v>
      </c>
      <c r="D8" s="139"/>
      <c r="E8" s="140"/>
      <c r="F8" s="133"/>
      <c r="G8" s="3" t="s">
        <v>200</v>
      </c>
      <c r="H8" s="3" t="s">
        <v>199</v>
      </c>
      <c r="I8" s="3" t="s">
        <v>14</v>
      </c>
      <c r="J8" s="133"/>
      <c r="K8" s="133"/>
    </row>
    <row r="9" spans="1:11" x14ac:dyDescent="0.3">
      <c r="A9" s="134"/>
      <c r="B9" s="134"/>
      <c r="C9" s="5" t="s">
        <v>15</v>
      </c>
      <c r="D9" s="5" t="s">
        <v>16</v>
      </c>
      <c r="E9" s="5" t="s">
        <v>17</v>
      </c>
      <c r="F9" s="134"/>
      <c r="G9" s="4"/>
      <c r="H9" s="4"/>
      <c r="I9" s="4"/>
      <c r="J9" s="133"/>
      <c r="K9" s="133"/>
    </row>
    <row r="10" spans="1:11" x14ac:dyDescent="0.3">
      <c r="A10" s="6">
        <v>1</v>
      </c>
      <c r="B10" s="6" t="s">
        <v>18</v>
      </c>
      <c r="C10" s="6">
        <v>185</v>
      </c>
      <c r="D10" s="6">
        <v>185</v>
      </c>
      <c r="E10" s="6">
        <v>0</v>
      </c>
      <c r="F10" s="7">
        <v>2634.75</v>
      </c>
      <c r="G10" s="6">
        <v>14.24</v>
      </c>
      <c r="H10" s="7">
        <v>21424.880000000001</v>
      </c>
      <c r="I10" s="7">
        <v>56449.19</v>
      </c>
      <c r="J10">
        <f>I10/F10</f>
        <v>21.42487522535345</v>
      </c>
      <c r="K10">
        <f>F10/G10</f>
        <v>185.0245786516854</v>
      </c>
    </row>
    <row r="11" spans="1:11" x14ac:dyDescent="0.3">
      <c r="A11" s="6">
        <v>2</v>
      </c>
      <c r="B11" s="6" t="s">
        <v>19</v>
      </c>
      <c r="C11" s="6">
        <v>394.5</v>
      </c>
      <c r="D11" s="6">
        <v>394.5</v>
      </c>
      <c r="E11" s="6">
        <v>0</v>
      </c>
      <c r="F11" s="7">
        <v>4661.24</v>
      </c>
      <c r="G11" s="6">
        <v>11.82</v>
      </c>
      <c r="H11" s="7">
        <v>23286.33</v>
      </c>
      <c r="I11" s="7">
        <v>108543.19</v>
      </c>
      <c r="J11">
        <f t="shared" ref="J11:J29" si="0">I11/F11</f>
        <v>23.286333679450106</v>
      </c>
      <c r="K11">
        <f t="shared" ref="K11:K29" si="1">F11/G11</f>
        <v>394.35194585448392</v>
      </c>
    </row>
    <row r="12" spans="1:11" x14ac:dyDescent="0.3">
      <c r="A12" s="6">
        <v>3</v>
      </c>
      <c r="B12" s="6" t="s">
        <v>20</v>
      </c>
      <c r="C12" s="6">
        <v>73</v>
      </c>
      <c r="D12" s="6">
        <v>19</v>
      </c>
      <c r="E12" s="6">
        <v>54</v>
      </c>
      <c r="F12" s="6">
        <v>182.47</v>
      </c>
      <c r="G12" s="6">
        <v>9.6</v>
      </c>
      <c r="H12" s="7">
        <v>24081.73</v>
      </c>
      <c r="I12" s="7">
        <v>4394.1899999999996</v>
      </c>
      <c r="J12">
        <f t="shared" si="0"/>
        <v>24.081712062256809</v>
      </c>
      <c r="K12">
        <f t="shared" si="1"/>
        <v>19.007291666666667</v>
      </c>
    </row>
    <row r="13" spans="1:11" x14ac:dyDescent="0.3">
      <c r="A13" s="6">
        <v>4</v>
      </c>
      <c r="B13" s="6" t="s">
        <v>21</v>
      </c>
      <c r="C13" s="6">
        <v>3.1</v>
      </c>
      <c r="D13" s="6">
        <v>3.1</v>
      </c>
      <c r="E13" s="6">
        <v>0</v>
      </c>
      <c r="F13" s="6">
        <v>22.01</v>
      </c>
      <c r="G13" s="6">
        <v>7.1</v>
      </c>
      <c r="H13" s="7">
        <v>35500</v>
      </c>
      <c r="I13" s="6">
        <v>781.36</v>
      </c>
      <c r="J13">
        <f t="shared" si="0"/>
        <v>35.500227169468424</v>
      </c>
      <c r="K13">
        <f t="shared" si="1"/>
        <v>3.1000000000000005</v>
      </c>
    </row>
    <row r="14" spans="1:11" x14ac:dyDescent="0.3">
      <c r="A14" s="6">
        <v>5</v>
      </c>
      <c r="B14" s="6" t="s">
        <v>22</v>
      </c>
      <c r="C14" s="6">
        <v>183.5</v>
      </c>
      <c r="D14" s="6">
        <v>183.5</v>
      </c>
      <c r="E14" s="6">
        <v>0</v>
      </c>
      <c r="F14" s="7">
        <v>2469.5</v>
      </c>
      <c r="G14" s="6">
        <v>13.46</v>
      </c>
      <c r="H14" s="7">
        <v>40451.89</v>
      </c>
      <c r="I14" s="7">
        <v>99895.95</v>
      </c>
      <c r="J14">
        <f t="shared" si="0"/>
        <v>40.451893095768376</v>
      </c>
      <c r="K14">
        <f t="shared" si="1"/>
        <v>183.46953937592866</v>
      </c>
    </row>
    <row r="15" spans="1:11" x14ac:dyDescent="0.3">
      <c r="A15" s="6">
        <v>6</v>
      </c>
      <c r="B15" s="6" t="s">
        <v>23</v>
      </c>
      <c r="C15" s="7">
        <v>1094</v>
      </c>
      <c r="D15" s="7">
        <v>1094</v>
      </c>
      <c r="E15" s="6">
        <v>0</v>
      </c>
      <c r="F15" s="7">
        <v>13372.79</v>
      </c>
      <c r="G15" s="6">
        <v>12.22</v>
      </c>
      <c r="H15" s="7">
        <v>27885.43</v>
      </c>
      <c r="I15" s="7">
        <v>372906</v>
      </c>
      <c r="J15">
        <f t="shared" si="0"/>
        <v>27.885430041150723</v>
      </c>
      <c r="K15">
        <f t="shared" si="1"/>
        <v>1094.336333878887</v>
      </c>
    </row>
    <row r="16" spans="1:11" x14ac:dyDescent="0.3">
      <c r="A16" s="6">
        <v>7</v>
      </c>
      <c r="B16" s="6" t="s">
        <v>24</v>
      </c>
      <c r="C16" s="6">
        <v>129</v>
      </c>
      <c r="D16" s="6">
        <v>129</v>
      </c>
      <c r="E16" s="6">
        <v>0</v>
      </c>
      <c r="F16" s="6">
        <v>441.11</v>
      </c>
      <c r="G16" s="6">
        <v>3.42</v>
      </c>
      <c r="H16" s="7">
        <v>18377.47</v>
      </c>
      <c r="I16" s="7">
        <v>8106.49</v>
      </c>
      <c r="J16">
        <f t="shared" si="0"/>
        <v>18.377479540250729</v>
      </c>
      <c r="K16">
        <f t="shared" si="1"/>
        <v>128.9795321637427</v>
      </c>
    </row>
    <row r="17" spans="1:11" x14ac:dyDescent="0.3">
      <c r="A17" s="6">
        <v>8</v>
      </c>
      <c r="B17" s="6" t="s">
        <v>25</v>
      </c>
      <c r="C17" s="6">
        <v>80.89</v>
      </c>
      <c r="D17" s="6">
        <v>80.89</v>
      </c>
      <c r="E17" s="6">
        <v>0</v>
      </c>
      <c r="F17" s="6">
        <v>896.19</v>
      </c>
      <c r="G17" s="6">
        <v>11.08</v>
      </c>
      <c r="H17" s="7">
        <v>25874.28</v>
      </c>
      <c r="I17" s="7">
        <v>23188.27</v>
      </c>
      <c r="J17">
        <f t="shared" si="0"/>
        <v>25.874278891752862</v>
      </c>
      <c r="K17">
        <f t="shared" si="1"/>
        <v>80.883574007220219</v>
      </c>
    </row>
    <row r="18" spans="1:11" x14ac:dyDescent="0.3">
      <c r="A18" s="6">
        <v>9</v>
      </c>
      <c r="B18" s="6" t="s">
        <v>26</v>
      </c>
      <c r="C18" s="6">
        <v>19</v>
      </c>
      <c r="D18" s="6">
        <v>19</v>
      </c>
      <c r="E18" s="6">
        <v>0</v>
      </c>
      <c r="F18" s="6">
        <v>266.19</v>
      </c>
      <c r="G18" s="6">
        <v>14.01</v>
      </c>
      <c r="H18" s="7">
        <v>29870</v>
      </c>
      <c r="I18" s="7">
        <v>7951.1</v>
      </c>
      <c r="J18">
        <f t="shared" si="0"/>
        <v>29.870017656561103</v>
      </c>
      <c r="K18">
        <f t="shared" si="1"/>
        <v>19</v>
      </c>
    </row>
    <row r="19" spans="1:11" x14ac:dyDescent="0.3">
      <c r="A19" s="6">
        <v>10</v>
      </c>
      <c r="B19" s="6" t="s">
        <v>27</v>
      </c>
      <c r="C19" s="6">
        <v>3.5</v>
      </c>
      <c r="D19" s="6">
        <v>3.5</v>
      </c>
      <c r="E19" s="6">
        <v>0</v>
      </c>
      <c r="F19" s="6">
        <v>24.29</v>
      </c>
      <c r="G19" s="6">
        <v>6.94</v>
      </c>
      <c r="H19" s="7">
        <v>15220</v>
      </c>
      <c r="I19" s="6">
        <v>369.69</v>
      </c>
      <c r="J19">
        <f t="shared" si="0"/>
        <v>15.219843557019351</v>
      </c>
      <c r="K19">
        <f t="shared" si="1"/>
        <v>3.4999999999999996</v>
      </c>
    </row>
    <row r="20" spans="1:11" x14ac:dyDescent="0.3">
      <c r="A20" s="6">
        <v>11</v>
      </c>
      <c r="B20" s="6" t="s">
        <v>28</v>
      </c>
      <c r="C20" s="6">
        <v>0.65</v>
      </c>
      <c r="D20" s="6">
        <v>0.65</v>
      </c>
      <c r="E20" s="6">
        <v>0</v>
      </c>
      <c r="F20" s="6">
        <v>6.64</v>
      </c>
      <c r="G20" s="6">
        <v>10.220000000000001</v>
      </c>
      <c r="H20" s="7">
        <v>21547</v>
      </c>
      <c r="I20" s="6">
        <v>143.07</v>
      </c>
      <c r="J20">
        <f t="shared" si="0"/>
        <v>21.546686746987952</v>
      </c>
      <c r="K20">
        <f t="shared" si="1"/>
        <v>0.64970645792563597</v>
      </c>
    </row>
    <row r="21" spans="1:11" x14ac:dyDescent="0.3">
      <c r="A21" s="6">
        <v>12</v>
      </c>
      <c r="B21" s="6" t="s">
        <v>29</v>
      </c>
      <c r="C21" s="6">
        <v>154</v>
      </c>
      <c r="D21" s="6">
        <v>154</v>
      </c>
      <c r="E21" s="6">
        <v>0</v>
      </c>
      <c r="F21" s="7">
        <v>2296.52</v>
      </c>
      <c r="G21" s="6">
        <v>14.91</v>
      </c>
      <c r="H21" s="7">
        <v>21543.23</v>
      </c>
      <c r="I21" s="7">
        <v>49474.45</v>
      </c>
      <c r="J21">
        <f t="shared" si="0"/>
        <v>21.543226272795359</v>
      </c>
      <c r="K21">
        <f t="shared" si="1"/>
        <v>154.02548625083836</v>
      </c>
    </row>
    <row r="22" spans="1:11" x14ac:dyDescent="0.3">
      <c r="A22" s="6">
        <v>13</v>
      </c>
      <c r="B22" s="6" t="s">
        <v>30</v>
      </c>
      <c r="C22" s="6">
        <v>208.46</v>
      </c>
      <c r="D22" s="6">
        <v>208.46</v>
      </c>
      <c r="E22" s="6">
        <v>0</v>
      </c>
      <c r="F22" s="7">
        <v>1726.19</v>
      </c>
      <c r="G22" s="6">
        <v>8.2799999999999994</v>
      </c>
      <c r="H22" s="7">
        <v>24608.69</v>
      </c>
      <c r="I22" s="7">
        <v>42479.28</v>
      </c>
      <c r="J22">
        <f t="shared" si="0"/>
        <v>24.608693133432588</v>
      </c>
      <c r="K22">
        <f t="shared" si="1"/>
        <v>208.47705314009664</v>
      </c>
    </row>
    <row r="23" spans="1:11" x14ac:dyDescent="0.3">
      <c r="A23" s="6">
        <v>14</v>
      </c>
      <c r="B23" s="6" t="s">
        <v>31</v>
      </c>
      <c r="C23" s="6">
        <v>662.75</v>
      </c>
      <c r="D23" s="6">
        <v>662.75</v>
      </c>
      <c r="E23" s="6">
        <v>0</v>
      </c>
      <c r="F23" s="7">
        <v>6110.26</v>
      </c>
      <c r="G23" s="6">
        <v>9.2200000000000006</v>
      </c>
      <c r="H23" s="7">
        <v>19791.14</v>
      </c>
      <c r="I23" s="7">
        <v>120929.02</v>
      </c>
      <c r="J23">
        <f t="shared" si="0"/>
        <v>19.791141457155668</v>
      </c>
      <c r="K23">
        <f t="shared" si="1"/>
        <v>662.71800433839473</v>
      </c>
    </row>
    <row r="24" spans="1:11" x14ac:dyDescent="0.3">
      <c r="A24" s="6">
        <v>15</v>
      </c>
      <c r="B24" s="6" t="s">
        <v>32</v>
      </c>
      <c r="C24" s="6">
        <v>55</v>
      </c>
      <c r="D24" s="6">
        <v>55</v>
      </c>
      <c r="E24" s="6">
        <v>0</v>
      </c>
      <c r="F24" s="6">
        <v>455.5</v>
      </c>
      <c r="G24" s="6">
        <v>8.2799999999999994</v>
      </c>
      <c r="H24" s="7">
        <v>41162.5</v>
      </c>
      <c r="I24" s="7">
        <v>18749.52</v>
      </c>
      <c r="J24">
        <f t="shared" si="0"/>
        <v>41.162502744237102</v>
      </c>
      <c r="K24">
        <f t="shared" si="1"/>
        <v>55.012077294685994</v>
      </c>
    </row>
    <row r="25" spans="1:11" x14ac:dyDescent="0.3">
      <c r="A25" s="6">
        <v>16</v>
      </c>
      <c r="B25" s="6" t="s">
        <v>33</v>
      </c>
      <c r="C25" s="6">
        <v>210.25</v>
      </c>
      <c r="D25" s="6">
        <v>210.25</v>
      </c>
      <c r="E25" s="6">
        <v>0</v>
      </c>
      <c r="F25" s="7">
        <v>2092.15</v>
      </c>
      <c r="G25" s="6">
        <v>9.9499999999999993</v>
      </c>
      <c r="H25" s="7">
        <v>19354.88</v>
      </c>
      <c r="I25" s="7">
        <v>40493.31</v>
      </c>
      <c r="J25">
        <f t="shared" si="0"/>
        <v>19.354878952273975</v>
      </c>
      <c r="K25">
        <f t="shared" si="1"/>
        <v>210.26633165829148</v>
      </c>
    </row>
    <row r="26" spans="1:11" x14ac:dyDescent="0.3">
      <c r="A26" s="6">
        <v>17</v>
      </c>
      <c r="B26" s="6" t="s">
        <v>34</v>
      </c>
      <c r="C26" s="6">
        <v>616.5</v>
      </c>
      <c r="D26" s="6">
        <v>616.5</v>
      </c>
      <c r="E26" s="6">
        <v>0</v>
      </c>
      <c r="F26" s="7">
        <v>5286.2</v>
      </c>
      <c r="G26" s="6">
        <v>8.57</v>
      </c>
      <c r="H26" s="7">
        <v>31549.79</v>
      </c>
      <c r="I26" s="7">
        <v>166778.48000000001</v>
      </c>
      <c r="J26">
        <f t="shared" si="0"/>
        <v>31.549786235859411</v>
      </c>
      <c r="K26">
        <f t="shared" si="1"/>
        <v>616.82613768961494</v>
      </c>
    </row>
    <row r="27" spans="1:11" x14ac:dyDescent="0.3">
      <c r="A27" s="6">
        <v>18</v>
      </c>
      <c r="B27" s="6" t="s">
        <v>35</v>
      </c>
      <c r="C27" s="6">
        <v>57</v>
      </c>
      <c r="D27" s="6">
        <v>57</v>
      </c>
      <c r="E27" s="6">
        <v>0</v>
      </c>
      <c r="F27" s="6">
        <v>365.36</v>
      </c>
      <c r="G27" s="6">
        <v>6.41</v>
      </c>
      <c r="H27" s="7">
        <v>23738.34</v>
      </c>
      <c r="I27" s="7">
        <v>8673.0400000000009</v>
      </c>
      <c r="J27">
        <f t="shared" si="0"/>
        <v>23.738340267133786</v>
      </c>
      <c r="K27">
        <f t="shared" si="1"/>
        <v>56.998439937597503</v>
      </c>
    </row>
    <row r="28" spans="1:11" x14ac:dyDescent="0.3">
      <c r="A28" s="6">
        <v>19</v>
      </c>
      <c r="B28" s="6" t="s">
        <v>36</v>
      </c>
      <c r="C28" s="6">
        <v>93.8</v>
      </c>
      <c r="D28" s="6">
        <v>93.8</v>
      </c>
      <c r="E28" s="6">
        <v>0</v>
      </c>
      <c r="F28" s="7">
        <v>1345.68</v>
      </c>
      <c r="G28" s="6">
        <v>14.35</v>
      </c>
      <c r="H28" s="7">
        <v>14301.77</v>
      </c>
      <c r="I28" s="7">
        <v>19245.61</v>
      </c>
      <c r="J28">
        <f t="shared" si="0"/>
        <v>14.301773081267463</v>
      </c>
      <c r="K28">
        <f t="shared" si="1"/>
        <v>93.775609756097566</v>
      </c>
    </row>
    <row r="29" spans="1:11" x14ac:dyDescent="0.3">
      <c r="A29" s="6">
        <v>20</v>
      </c>
      <c r="B29" s="6" t="s">
        <v>37</v>
      </c>
      <c r="C29" s="7">
        <v>3695.6</v>
      </c>
      <c r="D29" s="7">
        <v>3624.6</v>
      </c>
      <c r="E29" s="6">
        <v>71</v>
      </c>
      <c r="F29" s="7">
        <v>62432.58</v>
      </c>
      <c r="G29" s="6">
        <v>17.22</v>
      </c>
      <c r="H29" s="7">
        <v>18217.509999999998</v>
      </c>
      <c r="I29" s="7">
        <v>1137366.22</v>
      </c>
      <c r="J29">
        <f t="shared" si="0"/>
        <v>18.217511113588451</v>
      </c>
      <c r="K29">
        <f t="shared" si="1"/>
        <v>3625.5853658536589</v>
      </c>
    </row>
    <row r="30" spans="1:11" x14ac:dyDescent="0.3">
      <c r="A30" s="130" t="s">
        <v>38</v>
      </c>
      <c r="B30" s="131"/>
      <c r="C30" s="8">
        <v>7919.5</v>
      </c>
      <c r="D30" s="8">
        <v>7794.5</v>
      </c>
      <c r="E30" s="9">
        <v>125</v>
      </c>
      <c r="F30" s="8">
        <v>107087.62</v>
      </c>
      <c r="G30" s="9">
        <v>13.74</v>
      </c>
      <c r="H30" s="8">
        <v>21355.57</v>
      </c>
      <c r="I30" s="8">
        <v>2286917.42</v>
      </c>
      <c r="J30">
        <f t="shared" ref="J30" si="2">I30/F30</f>
        <v>21.355572380822359</v>
      </c>
      <c r="K30">
        <f t="shared" ref="K30" si="3">F30/G30</f>
        <v>7793.8588064046571</v>
      </c>
    </row>
  </sheetData>
  <mergeCells count="8">
    <mergeCell ref="A30:B30"/>
    <mergeCell ref="J7:J9"/>
    <mergeCell ref="K7:K9"/>
    <mergeCell ref="A7:A9"/>
    <mergeCell ref="B7:B9"/>
    <mergeCell ref="C7:E7"/>
    <mergeCell ref="C8:E8"/>
    <mergeCell ref="F7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>
      <selection activeCell="L10" sqref="L10"/>
    </sheetView>
  </sheetViews>
  <sheetFormatPr defaultRowHeight="14.4" x14ac:dyDescent="0.3"/>
  <cols>
    <col min="6" max="6" width="12.44140625" customWidth="1"/>
    <col min="9" max="9" width="13.33203125" customWidth="1"/>
  </cols>
  <sheetData>
    <row r="1" spans="1:9" x14ac:dyDescent="0.3">
      <c r="A1" s="11" t="s">
        <v>0</v>
      </c>
      <c r="B1" s="10"/>
      <c r="C1" s="10"/>
      <c r="D1" s="10"/>
      <c r="E1" s="10"/>
      <c r="F1" s="10"/>
      <c r="G1" s="10"/>
      <c r="H1" s="10"/>
      <c r="I1" s="10"/>
    </row>
    <row r="2" spans="1:9" x14ac:dyDescent="0.3">
      <c r="A2" s="11" t="s">
        <v>1</v>
      </c>
      <c r="B2" s="10"/>
      <c r="C2" s="10"/>
      <c r="D2" s="10"/>
      <c r="E2" s="10"/>
      <c r="F2" s="10"/>
      <c r="G2" s="10"/>
      <c r="H2" s="10"/>
      <c r="I2" s="10"/>
    </row>
    <row r="3" spans="1:9" x14ac:dyDescent="0.3">
      <c r="A3" s="11" t="s">
        <v>2</v>
      </c>
      <c r="B3" s="10"/>
      <c r="C3" s="10"/>
      <c r="D3" s="10"/>
      <c r="E3" s="10"/>
      <c r="F3" s="10"/>
      <c r="G3" s="10"/>
      <c r="H3" s="10"/>
      <c r="I3" s="10"/>
    </row>
    <row r="4" spans="1:9" x14ac:dyDescent="0.3">
      <c r="A4" s="11" t="s">
        <v>3</v>
      </c>
      <c r="B4" s="10"/>
      <c r="C4" s="10"/>
      <c r="D4" s="10"/>
      <c r="E4" s="10"/>
      <c r="F4" s="10"/>
      <c r="G4" s="10"/>
      <c r="H4" s="10"/>
      <c r="I4" s="10"/>
    </row>
    <row r="5" spans="1:9" x14ac:dyDescent="0.3">
      <c r="A5" s="11" t="s">
        <v>205</v>
      </c>
      <c r="B5" s="10"/>
      <c r="C5" s="10"/>
      <c r="D5" s="10"/>
      <c r="E5" s="10"/>
      <c r="F5" s="10"/>
      <c r="G5" s="10"/>
      <c r="H5" s="10"/>
      <c r="I5" s="10"/>
    </row>
    <row r="7" spans="1:9" ht="27.6" x14ac:dyDescent="0.3">
      <c r="A7" s="132"/>
      <c r="B7" s="132" t="s">
        <v>5</v>
      </c>
      <c r="C7" s="135" t="s">
        <v>6</v>
      </c>
      <c r="D7" s="136"/>
      <c r="E7" s="137"/>
      <c r="F7" s="132" t="s">
        <v>8</v>
      </c>
      <c r="G7" s="12" t="s">
        <v>9</v>
      </c>
      <c r="H7" s="12" t="s">
        <v>11</v>
      </c>
      <c r="I7" s="12" t="s">
        <v>13</v>
      </c>
    </row>
    <row r="8" spans="1:9" ht="27.6" x14ac:dyDescent="0.3">
      <c r="A8" s="133"/>
      <c r="B8" s="133"/>
      <c r="C8" s="138" t="s">
        <v>7</v>
      </c>
      <c r="D8" s="139"/>
      <c r="E8" s="140"/>
      <c r="F8" s="133"/>
      <c r="G8" s="13" t="s">
        <v>10</v>
      </c>
      <c r="H8" s="13" t="s">
        <v>12</v>
      </c>
      <c r="I8" s="13" t="s">
        <v>14</v>
      </c>
    </row>
    <row r="9" spans="1:9" ht="27.6" x14ac:dyDescent="0.3">
      <c r="A9" s="134"/>
      <c r="B9" s="134"/>
      <c r="C9" s="15" t="s">
        <v>15</v>
      </c>
      <c r="D9" s="15" t="s">
        <v>16</v>
      </c>
      <c r="E9" s="15" t="s">
        <v>17</v>
      </c>
      <c r="F9" s="134"/>
      <c r="G9" s="14"/>
      <c r="H9" s="14"/>
      <c r="I9" s="14"/>
    </row>
    <row r="10" spans="1:9" ht="27.6" x14ac:dyDescent="0.3">
      <c r="A10" s="16">
        <v>1</v>
      </c>
      <c r="B10" s="16" t="s">
        <v>18</v>
      </c>
      <c r="C10" s="16">
        <v>775.88</v>
      </c>
      <c r="D10" s="16">
        <v>775.88</v>
      </c>
      <c r="E10" s="16">
        <v>0</v>
      </c>
      <c r="F10" s="17">
        <v>68731.88</v>
      </c>
      <c r="G10" s="16">
        <v>88.59</v>
      </c>
      <c r="H10" s="17">
        <v>8933.7999999999993</v>
      </c>
      <c r="I10" s="17">
        <v>614036.57999999996</v>
      </c>
    </row>
    <row r="11" spans="1:9" ht="27.6" x14ac:dyDescent="0.3">
      <c r="A11" s="16">
        <v>2</v>
      </c>
      <c r="B11" s="16" t="s">
        <v>19</v>
      </c>
      <c r="C11" s="16">
        <v>640.47</v>
      </c>
      <c r="D11" s="16">
        <v>640.47</v>
      </c>
      <c r="E11" s="16">
        <v>0</v>
      </c>
      <c r="F11" s="17">
        <v>49228.39</v>
      </c>
      <c r="G11" s="16">
        <v>76.86</v>
      </c>
      <c r="H11" s="17">
        <v>32965.18</v>
      </c>
      <c r="I11" s="17">
        <v>1622822.95</v>
      </c>
    </row>
    <row r="12" spans="1:9" ht="41.4" x14ac:dyDescent="0.3">
      <c r="A12" s="16">
        <v>3</v>
      </c>
      <c r="B12" s="16" t="s">
        <v>20</v>
      </c>
      <c r="C12" s="17">
        <v>2832.99</v>
      </c>
      <c r="D12" s="17">
        <v>2832.99</v>
      </c>
      <c r="E12" s="16">
        <v>0</v>
      </c>
      <c r="F12" s="17">
        <v>183662.25</v>
      </c>
      <c r="G12" s="16">
        <v>64.83</v>
      </c>
      <c r="H12" s="17">
        <v>10977.67</v>
      </c>
      <c r="I12" s="17">
        <v>2016184.35</v>
      </c>
    </row>
    <row r="13" spans="1:9" ht="27.6" x14ac:dyDescent="0.3">
      <c r="A13" s="16">
        <v>4</v>
      </c>
      <c r="B13" s="16" t="s">
        <v>206</v>
      </c>
      <c r="C13" s="16">
        <v>278</v>
      </c>
      <c r="D13" s="16">
        <v>278</v>
      </c>
      <c r="E13" s="16">
        <v>0</v>
      </c>
      <c r="F13" s="17">
        <v>11520.19</v>
      </c>
      <c r="G13" s="16">
        <v>41.44</v>
      </c>
      <c r="H13" s="17">
        <v>7398.93</v>
      </c>
      <c r="I13" s="17">
        <v>85237.04</v>
      </c>
    </row>
    <row r="14" spans="1:9" x14ac:dyDescent="0.3">
      <c r="A14" s="16">
        <v>5</v>
      </c>
      <c r="B14" s="16" t="s">
        <v>21</v>
      </c>
      <c r="C14" s="16">
        <v>266</v>
      </c>
      <c r="D14" s="16">
        <v>266</v>
      </c>
      <c r="E14" s="16">
        <v>0</v>
      </c>
      <c r="F14" s="17">
        <v>48557.24</v>
      </c>
      <c r="G14" s="16">
        <v>182.55</v>
      </c>
      <c r="H14" s="17">
        <v>9843.6</v>
      </c>
      <c r="I14" s="17">
        <v>477977.98</v>
      </c>
    </row>
    <row r="15" spans="1:9" x14ac:dyDescent="0.3">
      <c r="A15" s="16">
        <v>6</v>
      </c>
      <c r="B15" s="16" t="s">
        <v>202</v>
      </c>
      <c r="C15" s="16">
        <v>348.87</v>
      </c>
      <c r="D15" s="16">
        <v>348.87</v>
      </c>
      <c r="E15" s="16">
        <v>0</v>
      </c>
      <c r="F15" s="17">
        <v>25442.16</v>
      </c>
      <c r="G15" s="16">
        <v>72.930000000000007</v>
      </c>
      <c r="H15" s="17">
        <v>8882.0499999999993</v>
      </c>
      <c r="I15" s="17">
        <v>225978.53</v>
      </c>
    </row>
    <row r="16" spans="1:9" x14ac:dyDescent="0.3">
      <c r="A16" s="16">
        <v>7</v>
      </c>
      <c r="B16" s="16" t="s">
        <v>203</v>
      </c>
      <c r="C16" s="17">
        <v>1600.79</v>
      </c>
      <c r="D16" s="17">
        <v>1600.79</v>
      </c>
      <c r="E16" s="16">
        <v>0</v>
      </c>
      <c r="F16" s="17">
        <v>81217.929999999993</v>
      </c>
      <c r="G16" s="16">
        <v>50.74</v>
      </c>
      <c r="H16" s="17">
        <v>9813.89</v>
      </c>
      <c r="I16" s="17">
        <v>797063.88</v>
      </c>
    </row>
    <row r="17" spans="1:9" ht="27.6" x14ac:dyDescent="0.3">
      <c r="A17" s="16">
        <v>8</v>
      </c>
      <c r="B17" s="16" t="s">
        <v>22</v>
      </c>
      <c r="C17" s="16">
        <v>65.05</v>
      </c>
      <c r="D17" s="16">
        <v>65.05</v>
      </c>
      <c r="E17" s="16">
        <v>0</v>
      </c>
      <c r="F17" s="17">
        <v>12495.03</v>
      </c>
      <c r="G17" s="16">
        <v>192.08</v>
      </c>
      <c r="H17" s="17">
        <v>23242.53</v>
      </c>
      <c r="I17" s="17">
        <v>290416.12</v>
      </c>
    </row>
    <row r="18" spans="1:9" ht="27.6" x14ac:dyDescent="0.3">
      <c r="A18" s="16">
        <v>9</v>
      </c>
      <c r="B18" s="16" t="s">
        <v>207</v>
      </c>
      <c r="C18" s="16">
        <v>1.3</v>
      </c>
      <c r="D18" s="16">
        <v>1.3</v>
      </c>
      <c r="E18" s="16">
        <v>0</v>
      </c>
      <c r="F18" s="16">
        <v>96.5</v>
      </c>
      <c r="G18" s="16">
        <v>74.23</v>
      </c>
      <c r="H18" s="17">
        <v>14340.94</v>
      </c>
      <c r="I18" s="17">
        <v>1383.9</v>
      </c>
    </row>
    <row r="19" spans="1:9" x14ac:dyDescent="0.3">
      <c r="A19" s="16">
        <v>10</v>
      </c>
      <c r="B19" s="16" t="s">
        <v>208</v>
      </c>
      <c r="C19" s="16">
        <v>421.8</v>
      </c>
      <c r="D19" s="16">
        <v>421.8</v>
      </c>
      <c r="E19" s="16">
        <v>0</v>
      </c>
      <c r="F19" s="17">
        <v>48224.72</v>
      </c>
      <c r="G19" s="16">
        <v>114.33</v>
      </c>
      <c r="H19" s="17">
        <v>9580.9599999999991</v>
      </c>
      <c r="I19" s="17">
        <v>462038.88</v>
      </c>
    </row>
    <row r="20" spans="1:9" ht="27.6" x14ac:dyDescent="0.3">
      <c r="A20" s="16">
        <v>11</v>
      </c>
      <c r="B20" s="16" t="s">
        <v>23</v>
      </c>
      <c r="C20" s="17">
        <v>1146.71</v>
      </c>
      <c r="D20" s="17">
        <v>1119.21</v>
      </c>
      <c r="E20" s="16">
        <v>27.5</v>
      </c>
      <c r="F20" s="17">
        <v>111912.12</v>
      </c>
      <c r="G20" s="16">
        <v>99.99</v>
      </c>
      <c r="H20" s="17">
        <v>8762.7099999999991</v>
      </c>
      <c r="I20" s="17">
        <v>980653.07</v>
      </c>
    </row>
    <row r="21" spans="1:9" x14ac:dyDescent="0.3">
      <c r="A21" s="16">
        <v>12</v>
      </c>
      <c r="B21" s="16" t="s">
        <v>24</v>
      </c>
      <c r="C21" s="17">
        <v>1240</v>
      </c>
      <c r="D21" s="17">
        <v>1240</v>
      </c>
      <c r="E21" s="16">
        <v>0</v>
      </c>
      <c r="F21" s="17">
        <v>29338.93</v>
      </c>
      <c r="G21" s="16">
        <v>23.66</v>
      </c>
      <c r="H21" s="17">
        <v>8892.9500000000007</v>
      </c>
      <c r="I21" s="17">
        <v>260909.73</v>
      </c>
    </row>
    <row r="22" spans="1:9" x14ac:dyDescent="0.3">
      <c r="A22" s="16">
        <v>13</v>
      </c>
      <c r="B22" s="16" t="s">
        <v>25</v>
      </c>
      <c r="C22" s="16">
        <v>927.08</v>
      </c>
      <c r="D22" s="16">
        <v>927.08</v>
      </c>
      <c r="E22" s="16">
        <v>0</v>
      </c>
      <c r="F22" s="17">
        <v>57848.43</v>
      </c>
      <c r="G22" s="16">
        <v>62.4</v>
      </c>
      <c r="H22" s="17">
        <v>9612.61</v>
      </c>
      <c r="I22" s="17">
        <v>556074.31000000006</v>
      </c>
    </row>
    <row r="23" spans="1:9" x14ac:dyDescent="0.3">
      <c r="A23" s="16">
        <v>14</v>
      </c>
      <c r="B23" s="16" t="s">
        <v>26</v>
      </c>
      <c r="C23" s="17">
        <v>1950.9</v>
      </c>
      <c r="D23" s="17">
        <v>1950.9</v>
      </c>
      <c r="E23" s="16">
        <v>0</v>
      </c>
      <c r="F23" s="17">
        <v>194683.15</v>
      </c>
      <c r="G23" s="16">
        <v>99.79</v>
      </c>
      <c r="H23" s="17">
        <v>14071.6</v>
      </c>
      <c r="I23" s="17">
        <v>2739503.2</v>
      </c>
    </row>
    <row r="24" spans="1:9" x14ac:dyDescent="0.3">
      <c r="A24" s="16">
        <v>15</v>
      </c>
      <c r="B24" s="16" t="s">
        <v>209</v>
      </c>
      <c r="C24" s="17">
        <v>1615.62</v>
      </c>
      <c r="D24" s="17">
        <v>1615.62</v>
      </c>
      <c r="E24" s="16">
        <v>0</v>
      </c>
      <c r="F24" s="17">
        <v>145683.09</v>
      </c>
      <c r="G24" s="16">
        <v>90.17</v>
      </c>
      <c r="H24" s="17">
        <v>8341.58</v>
      </c>
      <c r="I24" s="17">
        <v>1215226.78</v>
      </c>
    </row>
    <row r="25" spans="1:9" ht="27.6" x14ac:dyDescent="0.3">
      <c r="A25" s="16">
        <v>16</v>
      </c>
      <c r="B25" s="16" t="s">
        <v>27</v>
      </c>
      <c r="C25" s="17">
        <v>7709.79</v>
      </c>
      <c r="D25" s="17">
        <v>7709.79</v>
      </c>
      <c r="E25" s="16">
        <v>0</v>
      </c>
      <c r="F25" s="17">
        <v>339424.62</v>
      </c>
      <c r="G25" s="16">
        <v>44.03</v>
      </c>
      <c r="H25" s="17">
        <v>8569.75</v>
      </c>
      <c r="I25" s="17">
        <v>2908783.15</v>
      </c>
    </row>
    <row r="26" spans="1:9" x14ac:dyDescent="0.3">
      <c r="A26" s="16">
        <v>17</v>
      </c>
      <c r="B26" s="16" t="s">
        <v>210</v>
      </c>
      <c r="C26" s="17">
        <v>2346.8000000000002</v>
      </c>
      <c r="D26" s="17">
        <v>2346.8000000000002</v>
      </c>
      <c r="E26" s="16">
        <v>0</v>
      </c>
      <c r="F26" s="17">
        <v>210436.08</v>
      </c>
      <c r="G26" s="16">
        <v>89.67</v>
      </c>
      <c r="H26" s="17">
        <v>6712.69</v>
      </c>
      <c r="I26" s="17">
        <v>1412592.61</v>
      </c>
    </row>
    <row r="27" spans="1:9" x14ac:dyDescent="0.3">
      <c r="A27" s="16">
        <v>18</v>
      </c>
      <c r="B27" s="16" t="s">
        <v>28</v>
      </c>
      <c r="C27" s="16">
        <v>320.75</v>
      </c>
      <c r="D27" s="16">
        <v>320.75</v>
      </c>
      <c r="E27" s="16">
        <v>0</v>
      </c>
      <c r="F27" s="17">
        <v>22372.65</v>
      </c>
      <c r="G27" s="16">
        <v>69.75</v>
      </c>
      <c r="H27" s="17">
        <v>8340.5300000000007</v>
      </c>
      <c r="I27" s="17">
        <v>186599.7</v>
      </c>
    </row>
    <row r="28" spans="1:9" ht="27.6" x14ac:dyDescent="0.3">
      <c r="A28" s="16">
        <v>19</v>
      </c>
      <c r="B28" s="16" t="s">
        <v>29</v>
      </c>
      <c r="C28" s="16">
        <v>278.25</v>
      </c>
      <c r="D28" s="16">
        <v>278.25</v>
      </c>
      <c r="E28" s="16">
        <v>0</v>
      </c>
      <c r="F28" s="17">
        <v>53265.25</v>
      </c>
      <c r="G28" s="16">
        <v>191.43</v>
      </c>
      <c r="H28" s="17">
        <v>15238.92</v>
      </c>
      <c r="I28" s="17">
        <v>811704.71</v>
      </c>
    </row>
    <row r="29" spans="1:9" x14ac:dyDescent="0.3">
      <c r="A29" s="16">
        <v>20</v>
      </c>
      <c r="B29" s="16" t="s">
        <v>30</v>
      </c>
      <c r="C29" s="16">
        <v>918.25</v>
      </c>
      <c r="D29" s="16">
        <v>918.25</v>
      </c>
      <c r="E29" s="16">
        <v>0</v>
      </c>
      <c r="F29" s="17">
        <v>140441.48000000001</v>
      </c>
      <c r="G29" s="16">
        <v>152.94</v>
      </c>
      <c r="H29" s="17">
        <v>9167.08</v>
      </c>
      <c r="I29" s="17">
        <v>1287437.58</v>
      </c>
    </row>
    <row r="30" spans="1:9" x14ac:dyDescent="0.3">
      <c r="A30" s="16">
        <v>21</v>
      </c>
      <c r="B30" s="16" t="s">
        <v>31</v>
      </c>
      <c r="C30" s="17">
        <v>1227.51</v>
      </c>
      <c r="D30" s="17">
        <v>1227.51</v>
      </c>
      <c r="E30" s="16">
        <v>0</v>
      </c>
      <c r="F30" s="17">
        <v>181593.63</v>
      </c>
      <c r="G30" s="16">
        <v>147.94</v>
      </c>
      <c r="H30" s="17">
        <v>7783.9</v>
      </c>
      <c r="I30" s="17">
        <v>1413506.32</v>
      </c>
    </row>
    <row r="31" spans="1:9" x14ac:dyDescent="0.3">
      <c r="A31" s="16">
        <v>22</v>
      </c>
      <c r="B31" s="16" t="s">
        <v>32</v>
      </c>
      <c r="C31" s="16">
        <v>293.38</v>
      </c>
      <c r="D31" s="16">
        <v>293.38</v>
      </c>
      <c r="E31" s="16">
        <v>0</v>
      </c>
      <c r="F31" s="17">
        <v>84904.95</v>
      </c>
      <c r="G31" s="16">
        <v>289.39999999999998</v>
      </c>
      <c r="H31" s="17">
        <v>10061.35</v>
      </c>
      <c r="I31" s="17">
        <v>854258.76</v>
      </c>
    </row>
    <row r="32" spans="1:9" ht="27.6" x14ac:dyDescent="0.3">
      <c r="A32" s="16">
        <v>23</v>
      </c>
      <c r="B32" s="16" t="s">
        <v>211</v>
      </c>
      <c r="C32" s="16">
        <v>44.5</v>
      </c>
      <c r="D32" s="16">
        <v>44.5</v>
      </c>
      <c r="E32" s="16">
        <v>0</v>
      </c>
      <c r="F32" s="16">
        <v>661.86</v>
      </c>
      <c r="G32" s="16">
        <v>14.87</v>
      </c>
      <c r="H32" s="17">
        <v>10698.32</v>
      </c>
      <c r="I32" s="17">
        <v>7080.79</v>
      </c>
    </row>
    <row r="33" spans="1:9" ht="27.6" x14ac:dyDescent="0.3">
      <c r="A33" s="16">
        <v>24</v>
      </c>
      <c r="B33" s="16" t="s">
        <v>33</v>
      </c>
      <c r="C33" s="17">
        <v>3208</v>
      </c>
      <c r="D33" s="17">
        <v>3208</v>
      </c>
      <c r="E33" s="16">
        <v>0</v>
      </c>
      <c r="F33" s="17">
        <v>458291.4</v>
      </c>
      <c r="G33" s="16">
        <v>142.86000000000001</v>
      </c>
      <c r="H33" s="17">
        <v>12302.95</v>
      </c>
      <c r="I33" s="17">
        <v>5638335.2199999997</v>
      </c>
    </row>
    <row r="34" spans="1:9" x14ac:dyDescent="0.3">
      <c r="A34" s="16">
        <v>25</v>
      </c>
      <c r="B34" s="16" t="s">
        <v>204</v>
      </c>
      <c r="C34" s="17">
        <v>13403.48</v>
      </c>
      <c r="D34" s="17">
        <v>13342.48</v>
      </c>
      <c r="E34" s="16">
        <v>61</v>
      </c>
      <c r="F34" s="17">
        <v>800115.67</v>
      </c>
      <c r="G34" s="16">
        <v>59.97</v>
      </c>
      <c r="H34" s="17">
        <v>9983.3700000000008</v>
      </c>
      <c r="I34" s="17">
        <v>7987853.1100000003</v>
      </c>
    </row>
    <row r="35" spans="1:9" x14ac:dyDescent="0.3">
      <c r="A35" s="16">
        <v>26</v>
      </c>
      <c r="B35" s="16" t="s">
        <v>34</v>
      </c>
      <c r="C35" s="17">
        <v>2448.1</v>
      </c>
      <c r="D35" s="17">
        <v>2448.1</v>
      </c>
      <c r="E35" s="16">
        <v>0</v>
      </c>
      <c r="F35" s="17">
        <v>151547.97</v>
      </c>
      <c r="G35" s="16">
        <v>61.9</v>
      </c>
      <c r="H35" s="17">
        <v>7914.34</v>
      </c>
      <c r="I35" s="17">
        <v>1199402.55</v>
      </c>
    </row>
    <row r="36" spans="1:9" x14ac:dyDescent="0.3">
      <c r="A36" s="16">
        <v>27</v>
      </c>
      <c r="B36" s="16" t="s">
        <v>212</v>
      </c>
      <c r="C36" s="16">
        <v>56.25</v>
      </c>
      <c r="D36" s="16">
        <v>56.25</v>
      </c>
      <c r="E36" s="16">
        <v>0</v>
      </c>
      <c r="F36" s="16">
        <v>752.14</v>
      </c>
      <c r="G36" s="16">
        <v>13.37</v>
      </c>
      <c r="H36" s="17">
        <v>9024.1</v>
      </c>
      <c r="I36" s="17">
        <v>6787.39</v>
      </c>
    </row>
    <row r="37" spans="1:9" ht="27.6" x14ac:dyDescent="0.3">
      <c r="A37" s="16">
        <v>28</v>
      </c>
      <c r="B37" s="16" t="s">
        <v>213</v>
      </c>
      <c r="C37" s="16">
        <v>305.25</v>
      </c>
      <c r="D37" s="16">
        <v>225.25</v>
      </c>
      <c r="E37" s="16">
        <v>80</v>
      </c>
      <c r="F37" s="17">
        <v>10879.13</v>
      </c>
      <c r="G37" s="16">
        <v>48.3</v>
      </c>
      <c r="H37" s="17">
        <v>6930.89</v>
      </c>
      <c r="I37" s="17">
        <v>75402.080000000002</v>
      </c>
    </row>
    <row r="38" spans="1:9" x14ac:dyDescent="0.3">
      <c r="A38" s="16">
        <v>29</v>
      </c>
      <c r="B38" s="16" t="s">
        <v>35</v>
      </c>
      <c r="C38" s="16">
        <v>87.25</v>
      </c>
      <c r="D38" s="16">
        <v>87.25</v>
      </c>
      <c r="E38" s="16">
        <v>0</v>
      </c>
      <c r="F38" s="17">
        <v>9342.3799999999992</v>
      </c>
      <c r="G38" s="16">
        <v>107.08</v>
      </c>
      <c r="H38" s="17">
        <v>8447.02</v>
      </c>
      <c r="I38" s="17">
        <v>78915.28</v>
      </c>
    </row>
    <row r="39" spans="1:9" x14ac:dyDescent="0.3">
      <c r="A39" s="16">
        <v>30</v>
      </c>
      <c r="B39" s="16" t="s">
        <v>36</v>
      </c>
      <c r="C39" s="17">
        <v>1256.21</v>
      </c>
      <c r="D39" s="17">
        <v>1256.21</v>
      </c>
      <c r="E39" s="16">
        <v>0</v>
      </c>
      <c r="F39" s="17">
        <v>33256.04</v>
      </c>
      <c r="G39" s="16">
        <v>26.47</v>
      </c>
      <c r="H39" s="17">
        <v>7457.45</v>
      </c>
      <c r="I39" s="17">
        <v>248005.36</v>
      </c>
    </row>
    <row r="40" spans="1:9" x14ac:dyDescent="0.3">
      <c r="A40" s="16">
        <v>31</v>
      </c>
      <c r="B40" s="16" t="s">
        <v>214</v>
      </c>
      <c r="C40" s="16">
        <v>175.3</v>
      </c>
      <c r="D40" s="16">
        <v>175.3</v>
      </c>
      <c r="E40" s="16">
        <v>0</v>
      </c>
      <c r="F40" s="17">
        <v>2985.37</v>
      </c>
      <c r="G40" s="16">
        <v>17.03</v>
      </c>
      <c r="H40" s="17">
        <v>10307.84</v>
      </c>
      <c r="I40" s="17">
        <v>30772.73</v>
      </c>
    </row>
    <row r="41" spans="1:9" x14ac:dyDescent="0.3">
      <c r="A41" s="16">
        <v>32</v>
      </c>
      <c r="B41" s="16" t="s">
        <v>37</v>
      </c>
      <c r="C41" s="17">
        <v>1896.11</v>
      </c>
      <c r="D41" s="17">
        <v>1766.11</v>
      </c>
      <c r="E41" s="16">
        <v>130</v>
      </c>
      <c r="F41" s="17">
        <v>154890.56</v>
      </c>
      <c r="G41" s="16">
        <v>87.7</v>
      </c>
      <c r="H41" s="17">
        <v>6308.51</v>
      </c>
      <c r="I41" s="17">
        <v>977129.16</v>
      </c>
    </row>
    <row r="42" spans="1:9" x14ac:dyDescent="0.3">
      <c r="A42" s="130" t="s">
        <v>38</v>
      </c>
      <c r="B42" s="131"/>
      <c r="C42" s="18">
        <v>50086.64</v>
      </c>
      <c r="D42" s="18">
        <v>49788.14</v>
      </c>
      <c r="E42" s="19">
        <v>298.5</v>
      </c>
      <c r="F42" s="18">
        <v>3723803.19</v>
      </c>
      <c r="G42" s="19">
        <v>74.790000000000006</v>
      </c>
      <c r="H42" s="18">
        <v>10062.31</v>
      </c>
      <c r="I42" s="18">
        <v>37470073.789999999</v>
      </c>
    </row>
  </sheetData>
  <mergeCells count="6">
    <mergeCell ref="F7:F9"/>
    <mergeCell ref="A42:B42"/>
    <mergeCell ref="A7:A9"/>
    <mergeCell ref="B7:B9"/>
    <mergeCell ref="C7:E7"/>
    <mergeCell ref="C8:E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selection activeCell="K19" sqref="K19"/>
    </sheetView>
  </sheetViews>
  <sheetFormatPr defaultRowHeight="14.4" x14ac:dyDescent="0.3"/>
  <cols>
    <col min="3" max="4" width="10" bestFit="1" customWidth="1"/>
    <col min="6" max="6" width="11.44140625" bestFit="1" customWidth="1"/>
    <col min="9" max="9" width="12.44140625" bestFit="1" customWidth="1"/>
  </cols>
  <sheetData>
    <row r="1" spans="1:9" x14ac:dyDescent="0.3">
      <c r="A1" s="21" t="s">
        <v>0</v>
      </c>
      <c r="B1" s="20"/>
      <c r="C1" s="20"/>
      <c r="D1" s="20"/>
      <c r="E1" s="20"/>
      <c r="F1" s="20"/>
      <c r="G1" s="20"/>
      <c r="H1" s="20"/>
      <c r="I1" s="20"/>
    </row>
    <row r="2" spans="1:9" x14ac:dyDescent="0.3">
      <c r="A2" s="21" t="s">
        <v>1</v>
      </c>
      <c r="B2" s="20"/>
      <c r="C2" s="20"/>
      <c r="D2" s="20"/>
      <c r="E2" s="20"/>
      <c r="F2" s="20"/>
      <c r="G2" s="20"/>
      <c r="H2" s="20"/>
      <c r="I2" s="20"/>
    </row>
    <row r="3" spans="1:9" x14ac:dyDescent="0.3">
      <c r="A3" s="21" t="s">
        <v>2</v>
      </c>
      <c r="B3" s="20"/>
      <c r="C3" s="20"/>
      <c r="D3" s="20"/>
      <c r="E3" s="20"/>
      <c r="F3" s="20"/>
      <c r="G3" s="20"/>
      <c r="H3" s="20"/>
      <c r="I3" s="20"/>
    </row>
    <row r="4" spans="1:9" x14ac:dyDescent="0.3">
      <c r="A4" s="21" t="s">
        <v>3</v>
      </c>
      <c r="B4" s="20"/>
      <c r="C4" s="20"/>
      <c r="D4" s="20"/>
      <c r="E4" s="20"/>
      <c r="F4" s="20"/>
      <c r="G4" s="20"/>
      <c r="H4" s="20"/>
      <c r="I4" s="20"/>
    </row>
    <row r="5" spans="1:9" x14ac:dyDescent="0.3">
      <c r="A5" s="21" t="s">
        <v>215</v>
      </c>
      <c r="B5" s="20"/>
      <c r="C5" s="20"/>
      <c r="D5" s="20"/>
      <c r="E5" s="20"/>
      <c r="F5" s="20"/>
      <c r="G5" s="20"/>
      <c r="H5" s="20"/>
      <c r="I5" s="20"/>
    </row>
    <row r="7" spans="1:9" ht="27.6" x14ac:dyDescent="0.3">
      <c r="A7" s="132"/>
      <c r="B7" s="132" t="s">
        <v>5</v>
      </c>
      <c r="C7" s="135" t="s">
        <v>6</v>
      </c>
      <c r="D7" s="136"/>
      <c r="E7" s="137"/>
      <c r="F7" s="132" t="s">
        <v>8</v>
      </c>
      <c r="G7" s="22" t="s">
        <v>9</v>
      </c>
      <c r="H7" s="22" t="s">
        <v>11</v>
      </c>
      <c r="I7" s="22" t="s">
        <v>13</v>
      </c>
    </row>
    <row r="8" spans="1:9" ht="27.6" x14ac:dyDescent="0.3">
      <c r="A8" s="133"/>
      <c r="B8" s="133"/>
      <c r="C8" s="138" t="s">
        <v>7</v>
      </c>
      <c r="D8" s="139"/>
      <c r="E8" s="140"/>
      <c r="F8" s="133"/>
      <c r="G8" s="23" t="s">
        <v>10</v>
      </c>
      <c r="H8" s="23" t="s">
        <v>12</v>
      </c>
      <c r="I8" s="23" t="s">
        <v>14</v>
      </c>
    </row>
    <row r="9" spans="1:9" ht="27.6" x14ac:dyDescent="0.3">
      <c r="A9" s="134"/>
      <c r="B9" s="134"/>
      <c r="C9" s="25" t="s">
        <v>15</v>
      </c>
      <c r="D9" s="25" t="s">
        <v>16</v>
      </c>
      <c r="E9" s="25" t="s">
        <v>17</v>
      </c>
      <c r="F9" s="134"/>
      <c r="G9" s="24"/>
      <c r="H9" s="24"/>
      <c r="I9" s="24"/>
    </row>
    <row r="10" spans="1:9" ht="27.6" x14ac:dyDescent="0.3">
      <c r="A10" s="26">
        <v>1</v>
      </c>
      <c r="B10" s="26" t="s">
        <v>18</v>
      </c>
      <c r="C10" s="26">
        <v>55.85</v>
      </c>
      <c r="D10" s="26">
        <v>55.85</v>
      </c>
      <c r="E10" s="26">
        <v>0</v>
      </c>
      <c r="F10" s="26">
        <v>731.64</v>
      </c>
      <c r="G10" s="26">
        <v>13.1</v>
      </c>
      <c r="H10" s="27">
        <v>15500</v>
      </c>
      <c r="I10" s="27">
        <v>11340.42</v>
      </c>
    </row>
    <row r="11" spans="1:9" ht="27.6" x14ac:dyDescent="0.3">
      <c r="A11" s="26">
        <v>2</v>
      </c>
      <c r="B11" s="26" t="s">
        <v>19</v>
      </c>
      <c r="C11" s="26">
        <v>30</v>
      </c>
      <c r="D11" s="26">
        <v>30</v>
      </c>
      <c r="E11" s="26">
        <v>0</v>
      </c>
      <c r="F11" s="26">
        <v>246</v>
      </c>
      <c r="G11" s="26">
        <v>8.1999999999999993</v>
      </c>
      <c r="H11" s="27">
        <v>20630.080000000002</v>
      </c>
      <c r="I11" s="27">
        <v>5075</v>
      </c>
    </row>
    <row r="12" spans="1:9" ht="41.4" x14ac:dyDescent="0.3">
      <c r="A12" s="26">
        <v>3</v>
      </c>
      <c r="B12" s="26" t="s">
        <v>20</v>
      </c>
      <c r="C12" s="26">
        <v>112</v>
      </c>
      <c r="D12" s="26">
        <v>59</v>
      </c>
      <c r="E12" s="26">
        <v>0</v>
      </c>
      <c r="F12" s="26">
        <v>353.62</v>
      </c>
      <c r="G12" s="26">
        <v>5.99</v>
      </c>
      <c r="H12" s="27">
        <v>15038.93</v>
      </c>
      <c r="I12" s="27">
        <v>5318.07</v>
      </c>
    </row>
    <row r="13" spans="1:9" ht="27.6" x14ac:dyDescent="0.3">
      <c r="A13" s="26">
        <v>4</v>
      </c>
      <c r="B13" s="26" t="s">
        <v>206</v>
      </c>
      <c r="C13" s="26">
        <v>74</v>
      </c>
      <c r="D13" s="26">
        <v>69</v>
      </c>
      <c r="E13" s="26">
        <v>0</v>
      </c>
      <c r="F13" s="26">
        <v>777.67</v>
      </c>
      <c r="G13" s="26">
        <v>11.27</v>
      </c>
      <c r="H13" s="27">
        <v>9369.8700000000008</v>
      </c>
      <c r="I13" s="27">
        <v>7286.67</v>
      </c>
    </row>
    <row r="14" spans="1:9" x14ac:dyDescent="0.3">
      <c r="A14" s="26">
        <v>5</v>
      </c>
      <c r="B14" s="26" t="s">
        <v>202</v>
      </c>
      <c r="C14" s="26">
        <v>772.45</v>
      </c>
      <c r="D14" s="26">
        <v>766.45</v>
      </c>
      <c r="E14" s="26">
        <v>0</v>
      </c>
      <c r="F14" s="27">
        <v>8030.7</v>
      </c>
      <c r="G14" s="26">
        <v>10.48</v>
      </c>
      <c r="H14" s="27">
        <v>17348.650000000001</v>
      </c>
      <c r="I14" s="27">
        <v>139321.84</v>
      </c>
    </row>
    <row r="15" spans="1:9" x14ac:dyDescent="0.3">
      <c r="A15" s="26">
        <v>6</v>
      </c>
      <c r="B15" s="26" t="s">
        <v>203</v>
      </c>
      <c r="C15" s="27">
        <v>3376.21</v>
      </c>
      <c r="D15" s="27">
        <v>2941.06</v>
      </c>
      <c r="E15" s="26">
        <v>0</v>
      </c>
      <c r="F15" s="27">
        <v>18622.490000000002</v>
      </c>
      <c r="G15" s="26">
        <v>6.33</v>
      </c>
      <c r="H15" s="27">
        <v>26387.53</v>
      </c>
      <c r="I15" s="27">
        <v>491401.46</v>
      </c>
    </row>
    <row r="16" spans="1:9" ht="27.6" x14ac:dyDescent="0.3">
      <c r="A16" s="26">
        <v>7</v>
      </c>
      <c r="B16" s="26" t="s">
        <v>22</v>
      </c>
      <c r="C16" s="26">
        <v>69</v>
      </c>
      <c r="D16" s="26">
        <v>51</v>
      </c>
      <c r="E16" s="26">
        <v>0</v>
      </c>
      <c r="F16" s="26">
        <v>280.5</v>
      </c>
      <c r="G16" s="26">
        <v>5.5</v>
      </c>
      <c r="H16" s="27">
        <v>31000</v>
      </c>
      <c r="I16" s="27">
        <v>8695.5</v>
      </c>
    </row>
    <row r="17" spans="1:9" x14ac:dyDescent="0.3">
      <c r="A17" s="26">
        <v>8</v>
      </c>
      <c r="B17" s="26" t="s">
        <v>208</v>
      </c>
      <c r="C17" s="27">
        <v>1168.73</v>
      </c>
      <c r="D17" s="27">
        <v>1168.73</v>
      </c>
      <c r="E17" s="26">
        <v>0</v>
      </c>
      <c r="F17" s="27">
        <v>1808.01</v>
      </c>
      <c r="G17" s="26">
        <v>1.55</v>
      </c>
      <c r="H17" s="27">
        <v>16305.08</v>
      </c>
      <c r="I17" s="27">
        <v>29479.759999999998</v>
      </c>
    </row>
    <row r="18" spans="1:9" ht="27.6" x14ac:dyDescent="0.3">
      <c r="A18" s="26">
        <v>9</v>
      </c>
      <c r="B18" s="26" t="s">
        <v>23</v>
      </c>
      <c r="C18" s="26">
        <v>306.7</v>
      </c>
      <c r="D18" s="26">
        <v>263.2</v>
      </c>
      <c r="E18" s="26">
        <v>0</v>
      </c>
      <c r="F18" s="27">
        <v>2099.2800000000002</v>
      </c>
      <c r="G18" s="26">
        <v>7.98</v>
      </c>
      <c r="H18" s="27">
        <v>18843.52</v>
      </c>
      <c r="I18" s="27">
        <v>39557.82</v>
      </c>
    </row>
    <row r="19" spans="1:9" x14ac:dyDescent="0.3">
      <c r="A19" s="26">
        <v>10</v>
      </c>
      <c r="B19" s="26" t="s">
        <v>24</v>
      </c>
      <c r="C19" s="27">
        <v>5181.58</v>
      </c>
      <c r="D19" s="27">
        <v>4553.5600000000004</v>
      </c>
      <c r="E19" s="26">
        <v>0</v>
      </c>
      <c r="F19" s="27">
        <v>35162.69</v>
      </c>
      <c r="G19" s="26">
        <v>7.72</v>
      </c>
      <c r="H19" s="27">
        <v>13102.23</v>
      </c>
      <c r="I19" s="27">
        <v>460709.67</v>
      </c>
    </row>
    <row r="20" spans="1:9" x14ac:dyDescent="0.3">
      <c r="A20" s="26">
        <v>11</v>
      </c>
      <c r="B20" s="26" t="s">
        <v>25</v>
      </c>
      <c r="C20" s="26">
        <v>887.7</v>
      </c>
      <c r="D20" s="26">
        <v>762.7</v>
      </c>
      <c r="E20" s="26">
        <v>0</v>
      </c>
      <c r="F20" s="27">
        <v>4636.34</v>
      </c>
      <c r="G20" s="26">
        <v>6.08</v>
      </c>
      <c r="H20" s="27">
        <v>25217.89</v>
      </c>
      <c r="I20" s="27">
        <v>116918.72</v>
      </c>
    </row>
    <row r="21" spans="1:9" x14ac:dyDescent="0.3">
      <c r="A21" s="26">
        <v>12</v>
      </c>
      <c r="B21" s="26" t="s">
        <v>26</v>
      </c>
      <c r="C21" s="27">
        <v>30902.87</v>
      </c>
      <c r="D21" s="27">
        <v>28409.64</v>
      </c>
      <c r="E21" s="26">
        <v>0</v>
      </c>
      <c r="F21" s="27">
        <v>339015.85</v>
      </c>
      <c r="G21" s="26">
        <v>11.93</v>
      </c>
      <c r="H21" s="27">
        <v>24920.23</v>
      </c>
      <c r="I21" s="27">
        <v>8448353.2899999991</v>
      </c>
    </row>
    <row r="22" spans="1:9" x14ac:dyDescent="0.3">
      <c r="A22" s="26">
        <v>13</v>
      </c>
      <c r="B22" s="26" t="s">
        <v>209</v>
      </c>
      <c r="C22" s="27">
        <v>12941.51</v>
      </c>
      <c r="D22" s="27">
        <v>11757.84</v>
      </c>
      <c r="E22" s="26">
        <v>0</v>
      </c>
      <c r="F22" s="27">
        <v>134537.74</v>
      </c>
      <c r="G22" s="26">
        <v>11.44</v>
      </c>
      <c r="H22" s="27">
        <v>18133.79</v>
      </c>
      <c r="I22" s="27">
        <v>2439679.3199999998</v>
      </c>
    </row>
    <row r="23" spans="1:9" ht="27.6" x14ac:dyDescent="0.3">
      <c r="A23" s="26">
        <v>14</v>
      </c>
      <c r="B23" s="26" t="s">
        <v>27</v>
      </c>
      <c r="C23" s="27">
        <v>182012.31</v>
      </c>
      <c r="D23" s="27">
        <v>179633.81</v>
      </c>
      <c r="E23" s="26">
        <v>0</v>
      </c>
      <c r="F23" s="27">
        <v>2004926.38</v>
      </c>
      <c r="G23" s="26">
        <v>11.16</v>
      </c>
      <c r="H23" s="27">
        <v>20466.259999999998</v>
      </c>
      <c r="I23" s="27">
        <v>41033334.57</v>
      </c>
    </row>
    <row r="24" spans="1:9" x14ac:dyDescent="0.3">
      <c r="A24" s="26">
        <v>15</v>
      </c>
      <c r="B24" s="26" t="s">
        <v>210</v>
      </c>
      <c r="C24" s="27">
        <v>6034</v>
      </c>
      <c r="D24" s="27">
        <v>5918</v>
      </c>
      <c r="E24" s="26">
        <v>0</v>
      </c>
      <c r="F24" s="27">
        <v>53784.5</v>
      </c>
      <c r="G24" s="26">
        <v>9.09</v>
      </c>
      <c r="H24" s="27">
        <v>21186.36</v>
      </c>
      <c r="I24" s="27">
        <v>1139497.8600000001</v>
      </c>
    </row>
    <row r="25" spans="1:9" x14ac:dyDescent="0.3">
      <c r="A25" s="26">
        <v>16</v>
      </c>
      <c r="B25" s="26" t="s">
        <v>28</v>
      </c>
      <c r="C25" s="27">
        <v>8244.2999999999993</v>
      </c>
      <c r="D25" s="27">
        <v>7386.3</v>
      </c>
      <c r="E25" s="26">
        <v>0</v>
      </c>
      <c r="F25" s="27">
        <v>75361.399999999994</v>
      </c>
      <c r="G25" s="26">
        <v>10.199999999999999</v>
      </c>
      <c r="H25" s="27">
        <v>17429.48</v>
      </c>
      <c r="I25" s="27">
        <v>1313510.1000000001</v>
      </c>
    </row>
    <row r="26" spans="1:9" ht="27.6" x14ac:dyDescent="0.3">
      <c r="A26" s="26">
        <v>17</v>
      </c>
      <c r="B26" s="26" t="s">
        <v>29</v>
      </c>
      <c r="C26" s="26">
        <v>701.55</v>
      </c>
      <c r="D26" s="26">
        <v>701.55</v>
      </c>
      <c r="E26" s="26">
        <v>0</v>
      </c>
      <c r="F26" s="27">
        <v>1917.35</v>
      </c>
      <c r="G26" s="26">
        <v>2.73</v>
      </c>
      <c r="H26" s="27">
        <v>13336.31</v>
      </c>
      <c r="I26" s="27">
        <v>25570.37</v>
      </c>
    </row>
    <row r="27" spans="1:9" x14ac:dyDescent="0.3">
      <c r="A27" s="26">
        <v>18</v>
      </c>
      <c r="B27" s="26" t="s">
        <v>30</v>
      </c>
      <c r="C27" s="27">
        <v>3643.92</v>
      </c>
      <c r="D27" s="27">
        <v>3112.85</v>
      </c>
      <c r="E27" s="26">
        <v>0</v>
      </c>
      <c r="F27" s="27">
        <v>17488.8</v>
      </c>
      <c r="G27" s="26">
        <v>5.62</v>
      </c>
      <c r="H27" s="27">
        <v>20212.919999999998</v>
      </c>
      <c r="I27" s="27">
        <v>353499.77</v>
      </c>
    </row>
    <row r="28" spans="1:9" x14ac:dyDescent="0.3">
      <c r="A28" s="26">
        <v>19</v>
      </c>
      <c r="B28" s="26" t="s">
        <v>31</v>
      </c>
      <c r="C28" s="27">
        <v>3630.52</v>
      </c>
      <c r="D28" s="27">
        <v>2918.48</v>
      </c>
      <c r="E28" s="26">
        <v>0</v>
      </c>
      <c r="F28" s="27">
        <v>26248.31</v>
      </c>
      <c r="G28" s="26">
        <v>8.99</v>
      </c>
      <c r="H28" s="27">
        <v>16440.13</v>
      </c>
      <c r="I28" s="27">
        <v>431525.5</v>
      </c>
    </row>
    <row r="29" spans="1:9" x14ac:dyDescent="0.3">
      <c r="A29" s="26">
        <v>20</v>
      </c>
      <c r="B29" s="26" t="s">
        <v>32</v>
      </c>
      <c r="C29" s="26">
        <v>173</v>
      </c>
      <c r="D29" s="26">
        <v>154.5</v>
      </c>
      <c r="E29" s="26">
        <v>0</v>
      </c>
      <c r="F29" s="26">
        <v>583.13</v>
      </c>
      <c r="G29" s="26">
        <v>3.77</v>
      </c>
      <c r="H29" s="27">
        <v>19268.16</v>
      </c>
      <c r="I29" s="27">
        <v>11235.84</v>
      </c>
    </row>
    <row r="30" spans="1:9" ht="27.6" x14ac:dyDescent="0.3">
      <c r="A30" s="26">
        <v>21</v>
      </c>
      <c r="B30" s="26" t="s">
        <v>211</v>
      </c>
      <c r="C30" s="26">
        <v>6.5</v>
      </c>
      <c r="D30" s="26">
        <v>6.5</v>
      </c>
      <c r="E30" s="26">
        <v>0</v>
      </c>
      <c r="F30" s="26">
        <v>36.270000000000003</v>
      </c>
      <c r="G30" s="26">
        <v>5.58</v>
      </c>
      <c r="H30" s="27">
        <v>10928.37</v>
      </c>
      <c r="I30" s="26">
        <v>396.37</v>
      </c>
    </row>
    <row r="31" spans="1:9" ht="27.6" x14ac:dyDescent="0.3">
      <c r="A31" s="26">
        <v>22</v>
      </c>
      <c r="B31" s="26" t="s">
        <v>33</v>
      </c>
      <c r="C31" s="26">
        <v>148</v>
      </c>
      <c r="D31" s="26">
        <v>99</v>
      </c>
      <c r="E31" s="26">
        <v>0</v>
      </c>
      <c r="F31" s="26">
        <v>925.78</v>
      </c>
      <c r="G31" s="26">
        <v>9.35</v>
      </c>
      <c r="H31" s="27">
        <v>14181.79</v>
      </c>
      <c r="I31" s="27">
        <v>13129.22</v>
      </c>
    </row>
    <row r="32" spans="1:9" x14ac:dyDescent="0.3">
      <c r="A32" s="26">
        <v>23</v>
      </c>
      <c r="B32" s="26" t="s">
        <v>204</v>
      </c>
      <c r="C32" s="26">
        <v>392.33</v>
      </c>
      <c r="D32" s="26">
        <v>340.5</v>
      </c>
      <c r="E32" s="26">
        <v>0</v>
      </c>
      <c r="F32" s="27">
        <v>5462.23</v>
      </c>
      <c r="G32" s="26">
        <v>16.04</v>
      </c>
      <c r="H32" s="27">
        <v>15775.57</v>
      </c>
      <c r="I32" s="27">
        <v>86169.79</v>
      </c>
    </row>
    <row r="33" spans="1:9" x14ac:dyDescent="0.3">
      <c r="A33" s="26">
        <v>24</v>
      </c>
      <c r="B33" s="26" t="s">
        <v>34</v>
      </c>
      <c r="C33" s="26">
        <v>440.3</v>
      </c>
      <c r="D33" s="26">
        <v>30</v>
      </c>
      <c r="E33" s="26">
        <v>0</v>
      </c>
      <c r="F33" s="26">
        <v>466.98</v>
      </c>
      <c r="G33" s="26">
        <v>15.57</v>
      </c>
      <c r="H33" s="27">
        <v>35095.089999999997</v>
      </c>
      <c r="I33" s="27">
        <v>16388.7</v>
      </c>
    </row>
    <row r="34" spans="1:9" x14ac:dyDescent="0.3">
      <c r="A34" s="26">
        <v>25</v>
      </c>
      <c r="B34" s="26" t="s">
        <v>212</v>
      </c>
      <c r="C34" s="26">
        <v>59</v>
      </c>
      <c r="D34" s="26">
        <v>59</v>
      </c>
      <c r="E34" s="26">
        <v>0</v>
      </c>
      <c r="F34" s="26">
        <v>304.64</v>
      </c>
      <c r="G34" s="26">
        <v>5.16</v>
      </c>
      <c r="H34" s="27">
        <v>4360.96</v>
      </c>
      <c r="I34" s="27">
        <v>1328.52</v>
      </c>
    </row>
    <row r="35" spans="1:9" ht="27.6" x14ac:dyDescent="0.3">
      <c r="A35" s="26">
        <v>26</v>
      </c>
      <c r="B35" s="26" t="s">
        <v>213</v>
      </c>
      <c r="C35" s="26">
        <v>26</v>
      </c>
      <c r="D35" s="26">
        <v>1.5</v>
      </c>
      <c r="E35" s="26">
        <v>0</v>
      </c>
      <c r="F35" s="26">
        <v>15.5</v>
      </c>
      <c r="G35" s="26">
        <v>10.33</v>
      </c>
      <c r="H35" s="27">
        <v>18799.57</v>
      </c>
      <c r="I35" s="26">
        <v>291.39</v>
      </c>
    </row>
    <row r="36" spans="1:9" x14ac:dyDescent="0.3">
      <c r="A36" s="26">
        <v>27</v>
      </c>
      <c r="B36" s="26" t="s">
        <v>35</v>
      </c>
      <c r="C36" s="26">
        <v>28</v>
      </c>
      <c r="D36" s="26">
        <v>28</v>
      </c>
      <c r="E36" s="26">
        <v>0</v>
      </c>
      <c r="F36" s="26">
        <v>221.2</v>
      </c>
      <c r="G36" s="26">
        <v>7.9</v>
      </c>
      <c r="H36" s="27">
        <v>27000</v>
      </c>
      <c r="I36" s="27">
        <v>5972.4</v>
      </c>
    </row>
    <row r="37" spans="1:9" x14ac:dyDescent="0.3">
      <c r="A37" s="26">
        <v>28</v>
      </c>
      <c r="B37" s="26" t="s">
        <v>36</v>
      </c>
      <c r="C37" s="27">
        <v>1098.55</v>
      </c>
      <c r="D37" s="27">
        <v>1081.45</v>
      </c>
      <c r="E37" s="26">
        <v>0</v>
      </c>
      <c r="F37" s="27">
        <v>10811</v>
      </c>
      <c r="G37" s="26">
        <v>10</v>
      </c>
      <c r="H37" s="27">
        <v>15276.23</v>
      </c>
      <c r="I37" s="27">
        <v>165151.34</v>
      </c>
    </row>
    <row r="38" spans="1:9" x14ac:dyDescent="0.3">
      <c r="A38" s="26">
        <v>29</v>
      </c>
      <c r="B38" s="26" t="s">
        <v>214</v>
      </c>
      <c r="C38" s="26">
        <v>645.17999999999995</v>
      </c>
      <c r="D38" s="26">
        <v>634.17999999999995</v>
      </c>
      <c r="E38" s="26">
        <v>0</v>
      </c>
      <c r="F38" s="27">
        <v>16043.06</v>
      </c>
      <c r="G38" s="26">
        <v>25.3</v>
      </c>
      <c r="H38" s="27">
        <v>10505.24</v>
      </c>
      <c r="I38" s="27">
        <v>168536.25</v>
      </c>
    </row>
    <row r="39" spans="1:9" x14ac:dyDescent="0.3">
      <c r="A39" s="26">
        <v>30</v>
      </c>
      <c r="B39" s="26" t="s">
        <v>37</v>
      </c>
      <c r="C39" s="26">
        <v>50</v>
      </c>
      <c r="D39" s="26">
        <v>50</v>
      </c>
      <c r="E39" s="26">
        <v>0</v>
      </c>
      <c r="F39" s="26">
        <v>428.79</v>
      </c>
      <c r="G39" s="26">
        <v>8.58</v>
      </c>
      <c r="H39" s="27">
        <v>15507.27</v>
      </c>
      <c r="I39" s="27">
        <v>6649.36</v>
      </c>
    </row>
    <row r="40" spans="1:9" x14ac:dyDescent="0.3">
      <c r="A40" s="130" t="s">
        <v>38</v>
      </c>
      <c r="B40" s="131"/>
      <c r="C40" s="28">
        <v>263212.06</v>
      </c>
      <c r="D40" s="28">
        <v>253043.65</v>
      </c>
      <c r="E40" s="29">
        <v>0</v>
      </c>
      <c r="F40" s="28">
        <v>2761327.85</v>
      </c>
      <c r="G40" s="29">
        <v>10.91</v>
      </c>
      <c r="H40" s="28">
        <v>20633.310000000001</v>
      </c>
      <c r="I40" s="28">
        <v>56975324.899999999</v>
      </c>
    </row>
  </sheetData>
  <mergeCells count="6">
    <mergeCell ref="F7:F9"/>
    <mergeCell ref="A40:B40"/>
    <mergeCell ref="A7:A9"/>
    <mergeCell ref="B7:B9"/>
    <mergeCell ref="C7:E7"/>
    <mergeCell ref="C8:E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>
      <selection activeCell="L7" sqref="L7"/>
    </sheetView>
  </sheetViews>
  <sheetFormatPr defaultRowHeight="14.4" x14ac:dyDescent="0.3"/>
  <cols>
    <col min="6" max="6" width="11.44140625" bestFit="1" customWidth="1"/>
    <col min="9" max="9" width="12.44140625" bestFit="1" customWidth="1"/>
  </cols>
  <sheetData>
    <row r="1" spans="1:9" x14ac:dyDescent="0.3">
      <c r="A1" s="31" t="s">
        <v>0</v>
      </c>
      <c r="B1" s="30"/>
      <c r="C1" s="30"/>
      <c r="D1" s="30"/>
      <c r="E1" s="30"/>
      <c r="F1" s="30"/>
      <c r="G1" s="30"/>
      <c r="H1" s="30"/>
      <c r="I1" s="30"/>
    </row>
    <row r="2" spans="1:9" x14ac:dyDescent="0.3">
      <c r="A2" s="31" t="s">
        <v>1</v>
      </c>
      <c r="B2" s="30"/>
      <c r="C2" s="30"/>
      <c r="D2" s="30"/>
      <c r="E2" s="30"/>
      <c r="F2" s="30"/>
      <c r="G2" s="30"/>
      <c r="H2" s="30"/>
      <c r="I2" s="30"/>
    </row>
    <row r="3" spans="1:9" x14ac:dyDescent="0.3">
      <c r="A3" s="31" t="s">
        <v>2</v>
      </c>
      <c r="B3" s="30"/>
      <c r="C3" s="30"/>
      <c r="D3" s="30"/>
      <c r="E3" s="30"/>
      <c r="F3" s="30"/>
      <c r="G3" s="30"/>
      <c r="H3" s="30"/>
      <c r="I3" s="30"/>
    </row>
    <row r="4" spans="1:9" x14ac:dyDescent="0.3">
      <c r="A4" s="31" t="s">
        <v>3</v>
      </c>
      <c r="B4" s="30"/>
      <c r="C4" s="30"/>
      <c r="D4" s="30"/>
      <c r="E4" s="30"/>
      <c r="F4" s="30"/>
      <c r="G4" s="30"/>
      <c r="H4" s="30"/>
      <c r="I4" s="30"/>
    </row>
    <row r="5" spans="1:9" x14ac:dyDescent="0.3">
      <c r="A5" s="31" t="s">
        <v>216</v>
      </c>
      <c r="B5" s="30"/>
      <c r="C5" s="30"/>
      <c r="D5" s="30"/>
      <c r="E5" s="30"/>
      <c r="F5" s="30"/>
      <c r="G5" s="30"/>
      <c r="H5" s="30"/>
      <c r="I5" s="30"/>
    </row>
    <row r="7" spans="1:9" ht="27.6" x14ac:dyDescent="0.3">
      <c r="A7" s="132"/>
      <c r="B7" s="132" t="s">
        <v>5</v>
      </c>
      <c r="C7" s="135" t="s">
        <v>6</v>
      </c>
      <c r="D7" s="136"/>
      <c r="E7" s="137"/>
      <c r="F7" s="132" t="s">
        <v>8</v>
      </c>
      <c r="G7" s="32" t="s">
        <v>9</v>
      </c>
      <c r="H7" s="32" t="s">
        <v>11</v>
      </c>
      <c r="I7" s="32" t="s">
        <v>13</v>
      </c>
    </row>
    <row r="8" spans="1:9" ht="27.6" x14ac:dyDescent="0.3">
      <c r="A8" s="133"/>
      <c r="B8" s="133"/>
      <c r="C8" s="138" t="s">
        <v>7</v>
      </c>
      <c r="D8" s="139"/>
      <c r="E8" s="140"/>
      <c r="F8" s="133"/>
      <c r="G8" s="33" t="s">
        <v>10</v>
      </c>
      <c r="H8" s="33" t="s">
        <v>12</v>
      </c>
      <c r="I8" s="33" t="s">
        <v>14</v>
      </c>
    </row>
    <row r="9" spans="1:9" ht="27.6" x14ac:dyDescent="0.3">
      <c r="A9" s="134"/>
      <c r="B9" s="134"/>
      <c r="C9" s="35" t="s">
        <v>15</v>
      </c>
      <c r="D9" s="35" t="s">
        <v>16</v>
      </c>
      <c r="E9" s="35" t="s">
        <v>17</v>
      </c>
      <c r="F9" s="134"/>
      <c r="G9" s="34"/>
      <c r="H9" s="34"/>
      <c r="I9" s="34"/>
    </row>
    <row r="10" spans="1:9" ht="27.6" x14ac:dyDescent="0.3">
      <c r="A10" s="36">
        <v>1</v>
      </c>
      <c r="B10" s="36" t="s">
        <v>18</v>
      </c>
      <c r="C10" s="36">
        <v>471</v>
      </c>
      <c r="D10" s="36">
        <v>471</v>
      </c>
      <c r="E10" s="36">
        <v>0</v>
      </c>
      <c r="F10" s="37">
        <v>12707.5</v>
      </c>
      <c r="G10" s="36">
        <v>26.98</v>
      </c>
      <c r="H10" s="37">
        <v>2852.33</v>
      </c>
      <c r="I10" s="37">
        <v>36245.980000000003</v>
      </c>
    </row>
    <row r="11" spans="1:9" ht="27.6" x14ac:dyDescent="0.3">
      <c r="A11" s="36">
        <v>2</v>
      </c>
      <c r="B11" s="36" t="s">
        <v>19</v>
      </c>
      <c r="C11" s="37">
        <v>8538</v>
      </c>
      <c r="D11" s="37">
        <v>8538</v>
      </c>
      <c r="E11" s="36">
        <v>0</v>
      </c>
      <c r="F11" s="37">
        <v>145136.82999999999</v>
      </c>
      <c r="G11" s="36">
        <v>17</v>
      </c>
      <c r="H11" s="37">
        <v>14837.05</v>
      </c>
      <c r="I11" s="37">
        <v>2153402.7400000002</v>
      </c>
    </row>
    <row r="12" spans="1:9" ht="41.4" x14ac:dyDescent="0.3">
      <c r="A12" s="36">
        <v>3</v>
      </c>
      <c r="B12" s="36" t="s">
        <v>20</v>
      </c>
      <c r="C12" s="36">
        <v>275.39999999999998</v>
      </c>
      <c r="D12" s="36">
        <v>275.39999999999998</v>
      </c>
      <c r="E12" s="36">
        <v>0</v>
      </c>
      <c r="F12" s="37">
        <v>8897.65</v>
      </c>
      <c r="G12" s="36">
        <v>32.31</v>
      </c>
      <c r="H12" s="37">
        <v>5707.39</v>
      </c>
      <c r="I12" s="37">
        <v>50782.36</v>
      </c>
    </row>
    <row r="13" spans="1:9" x14ac:dyDescent="0.3">
      <c r="A13" s="36">
        <v>4</v>
      </c>
      <c r="B13" s="36" t="s">
        <v>21</v>
      </c>
      <c r="C13" s="36">
        <v>325.60000000000002</v>
      </c>
      <c r="D13" s="36">
        <v>325.60000000000002</v>
      </c>
      <c r="E13" s="36">
        <v>0</v>
      </c>
      <c r="F13" s="37">
        <v>14686.86</v>
      </c>
      <c r="G13" s="36">
        <v>45.11</v>
      </c>
      <c r="H13" s="37">
        <v>5691.98</v>
      </c>
      <c r="I13" s="37">
        <v>83597.34</v>
      </c>
    </row>
    <row r="14" spans="1:9" x14ac:dyDescent="0.3">
      <c r="A14" s="36">
        <v>5</v>
      </c>
      <c r="B14" s="36" t="s">
        <v>203</v>
      </c>
      <c r="C14" s="36">
        <v>222.87</v>
      </c>
      <c r="D14" s="36">
        <v>222.87</v>
      </c>
      <c r="E14" s="36">
        <v>0</v>
      </c>
      <c r="F14" s="37">
        <v>4910.5600000000004</v>
      </c>
      <c r="G14" s="36">
        <v>22.03</v>
      </c>
      <c r="H14" s="37">
        <v>7073.76</v>
      </c>
      <c r="I14" s="37">
        <v>34736.15</v>
      </c>
    </row>
    <row r="15" spans="1:9" ht="27.6" x14ac:dyDescent="0.3">
      <c r="A15" s="36">
        <v>6</v>
      </c>
      <c r="B15" s="36" t="s">
        <v>22</v>
      </c>
      <c r="C15" s="37">
        <v>8384.5</v>
      </c>
      <c r="D15" s="37">
        <v>8384.5</v>
      </c>
      <c r="E15" s="36">
        <v>0</v>
      </c>
      <c r="F15" s="37">
        <v>441026.14</v>
      </c>
      <c r="G15" s="36">
        <v>52.6</v>
      </c>
      <c r="H15" s="37">
        <v>4708.38</v>
      </c>
      <c r="I15" s="37">
        <v>2076518.05</v>
      </c>
    </row>
    <row r="16" spans="1:9" x14ac:dyDescent="0.3">
      <c r="A16" s="36">
        <v>7</v>
      </c>
      <c r="B16" s="36" t="s">
        <v>208</v>
      </c>
      <c r="C16" s="36">
        <v>772.5</v>
      </c>
      <c r="D16" s="36">
        <v>757.5</v>
      </c>
      <c r="E16" s="36">
        <v>15</v>
      </c>
      <c r="F16" s="37">
        <v>42631.57</v>
      </c>
      <c r="G16" s="36">
        <v>56.28</v>
      </c>
      <c r="H16" s="37">
        <v>5144.49</v>
      </c>
      <c r="I16" s="37">
        <v>219317.81</v>
      </c>
    </row>
    <row r="17" spans="1:9" ht="27.6" x14ac:dyDescent="0.3">
      <c r="A17" s="36">
        <v>8</v>
      </c>
      <c r="B17" s="36" t="s">
        <v>23</v>
      </c>
      <c r="C17" s="37">
        <v>7008.5</v>
      </c>
      <c r="D17" s="37">
        <v>7008.5</v>
      </c>
      <c r="E17" s="36">
        <v>0</v>
      </c>
      <c r="F17" s="37">
        <v>205968.19</v>
      </c>
      <c r="G17" s="36">
        <v>29.39</v>
      </c>
      <c r="H17" s="37">
        <v>7106.48</v>
      </c>
      <c r="I17" s="37">
        <v>1463709.67</v>
      </c>
    </row>
    <row r="18" spans="1:9" x14ac:dyDescent="0.3">
      <c r="A18" s="36">
        <v>9</v>
      </c>
      <c r="B18" s="36" t="s">
        <v>24</v>
      </c>
      <c r="C18" s="36">
        <v>84.82</v>
      </c>
      <c r="D18" s="36">
        <v>84.82</v>
      </c>
      <c r="E18" s="36">
        <v>0</v>
      </c>
      <c r="F18" s="37">
        <v>1085.5999999999999</v>
      </c>
      <c r="G18" s="36">
        <v>12.8</v>
      </c>
      <c r="H18" s="37">
        <v>7202.7</v>
      </c>
      <c r="I18" s="37">
        <v>7819.25</v>
      </c>
    </row>
    <row r="19" spans="1:9" x14ac:dyDescent="0.3">
      <c r="A19" s="36">
        <v>10</v>
      </c>
      <c r="B19" s="36" t="s">
        <v>25</v>
      </c>
      <c r="C19" s="36">
        <v>114.53</v>
      </c>
      <c r="D19" s="36">
        <v>114.53</v>
      </c>
      <c r="E19" s="36">
        <v>0</v>
      </c>
      <c r="F19" s="37">
        <v>2161.85</v>
      </c>
      <c r="G19" s="36">
        <v>18.88</v>
      </c>
      <c r="H19" s="37">
        <v>6813.03</v>
      </c>
      <c r="I19" s="37">
        <v>14728.74</v>
      </c>
    </row>
    <row r="20" spans="1:9" x14ac:dyDescent="0.3">
      <c r="A20" s="36">
        <v>11</v>
      </c>
      <c r="B20" s="36" t="s">
        <v>26</v>
      </c>
      <c r="C20" s="37">
        <v>1324</v>
      </c>
      <c r="D20" s="37">
        <v>1316</v>
      </c>
      <c r="E20" s="36">
        <v>8</v>
      </c>
      <c r="F20" s="37">
        <v>39873.08</v>
      </c>
      <c r="G20" s="36">
        <v>30.3</v>
      </c>
      <c r="H20" s="37">
        <v>9328.6</v>
      </c>
      <c r="I20" s="37">
        <v>371959.91</v>
      </c>
    </row>
    <row r="21" spans="1:9" x14ac:dyDescent="0.3">
      <c r="A21" s="36">
        <v>12</v>
      </c>
      <c r="B21" s="36" t="s">
        <v>209</v>
      </c>
      <c r="C21" s="36">
        <v>638.16999999999996</v>
      </c>
      <c r="D21" s="36">
        <v>638.16999999999996</v>
      </c>
      <c r="E21" s="36">
        <v>0</v>
      </c>
      <c r="F21" s="37">
        <v>11818.81</v>
      </c>
      <c r="G21" s="36">
        <v>18.52</v>
      </c>
      <c r="H21" s="37">
        <v>6288.43</v>
      </c>
      <c r="I21" s="37">
        <v>74321.72</v>
      </c>
    </row>
    <row r="22" spans="1:9" ht="27.6" x14ac:dyDescent="0.3">
      <c r="A22" s="36">
        <v>13</v>
      </c>
      <c r="B22" s="36" t="s">
        <v>27</v>
      </c>
      <c r="C22" s="37">
        <v>3591.6</v>
      </c>
      <c r="D22" s="37">
        <v>3591.6</v>
      </c>
      <c r="E22" s="36">
        <v>0</v>
      </c>
      <c r="F22" s="37">
        <v>120551.11</v>
      </c>
      <c r="G22" s="36">
        <v>33.56</v>
      </c>
      <c r="H22" s="37">
        <v>8634.23</v>
      </c>
      <c r="I22" s="37">
        <v>1040865.64</v>
      </c>
    </row>
    <row r="23" spans="1:9" x14ac:dyDescent="0.3">
      <c r="A23" s="36">
        <v>14</v>
      </c>
      <c r="B23" s="36" t="s">
        <v>210</v>
      </c>
      <c r="C23" s="37">
        <v>2813</v>
      </c>
      <c r="D23" s="37">
        <v>2813</v>
      </c>
      <c r="E23" s="36">
        <v>0</v>
      </c>
      <c r="F23" s="37">
        <v>79352.600000000006</v>
      </c>
      <c r="G23" s="36">
        <v>28.21</v>
      </c>
      <c r="H23" s="37">
        <v>6815.23</v>
      </c>
      <c r="I23" s="37">
        <v>540806.57999999996</v>
      </c>
    </row>
    <row r="24" spans="1:9" x14ac:dyDescent="0.3">
      <c r="A24" s="36">
        <v>15</v>
      </c>
      <c r="B24" s="36" t="s">
        <v>28</v>
      </c>
      <c r="C24" s="36">
        <v>8.5</v>
      </c>
      <c r="D24" s="36">
        <v>8.5</v>
      </c>
      <c r="E24" s="36">
        <v>0</v>
      </c>
      <c r="F24" s="36">
        <v>264.31</v>
      </c>
      <c r="G24" s="36">
        <v>31.1</v>
      </c>
      <c r="H24" s="37">
        <v>6106.37</v>
      </c>
      <c r="I24" s="37">
        <v>1613.98</v>
      </c>
    </row>
    <row r="25" spans="1:9" ht="27.6" x14ac:dyDescent="0.3">
      <c r="A25" s="36">
        <v>16</v>
      </c>
      <c r="B25" s="36" t="s">
        <v>29</v>
      </c>
      <c r="C25" s="36">
        <v>216</v>
      </c>
      <c r="D25" s="36">
        <v>200</v>
      </c>
      <c r="E25" s="36">
        <v>16</v>
      </c>
      <c r="F25" s="37">
        <v>4600</v>
      </c>
      <c r="G25" s="36">
        <v>23</v>
      </c>
      <c r="H25" s="37">
        <v>9000</v>
      </c>
      <c r="I25" s="37">
        <v>41400</v>
      </c>
    </row>
    <row r="26" spans="1:9" x14ac:dyDescent="0.3">
      <c r="A26" s="36">
        <v>17</v>
      </c>
      <c r="B26" s="36" t="s">
        <v>30</v>
      </c>
      <c r="C26" s="36">
        <v>75.03</v>
      </c>
      <c r="D26" s="36">
        <v>75.03</v>
      </c>
      <c r="E26" s="36">
        <v>0</v>
      </c>
      <c r="F26" s="37">
        <v>1453.62</v>
      </c>
      <c r="G26" s="36">
        <v>19.37</v>
      </c>
      <c r="H26" s="37">
        <v>8661.52</v>
      </c>
      <c r="I26" s="37">
        <v>12590.56</v>
      </c>
    </row>
    <row r="27" spans="1:9" x14ac:dyDescent="0.3">
      <c r="A27" s="36">
        <v>18</v>
      </c>
      <c r="B27" s="36" t="s">
        <v>31</v>
      </c>
      <c r="C27" s="37">
        <v>4788.93</v>
      </c>
      <c r="D27" s="37">
        <v>4788.93</v>
      </c>
      <c r="E27" s="36">
        <v>0</v>
      </c>
      <c r="F27" s="37">
        <v>100971.93</v>
      </c>
      <c r="G27" s="36">
        <v>21.08</v>
      </c>
      <c r="H27" s="37">
        <v>7078.72</v>
      </c>
      <c r="I27" s="37">
        <v>714751.97</v>
      </c>
    </row>
    <row r="28" spans="1:9" x14ac:dyDescent="0.3">
      <c r="A28" s="36">
        <v>19</v>
      </c>
      <c r="B28" s="36" t="s">
        <v>32</v>
      </c>
      <c r="C28" s="36">
        <v>337.6</v>
      </c>
      <c r="D28" s="36">
        <v>337.6</v>
      </c>
      <c r="E28" s="36">
        <v>0</v>
      </c>
      <c r="F28" s="37">
        <v>8228.2199999999993</v>
      </c>
      <c r="G28" s="36">
        <v>24.37</v>
      </c>
      <c r="H28" s="37">
        <v>6668.64</v>
      </c>
      <c r="I28" s="37">
        <v>54871</v>
      </c>
    </row>
    <row r="29" spans="1:9" ht="27.6" x14ac:dyDescent="0.3">
      <c r="A29" s="36">
        <v>20</v>
      </c>
      <c r="B29" s="36" t="s">
        <v>33</v>
      </c>
      <c r="C29" s="37">
        <v>1572</v>
      </c>
      <c r="D29" s="37">
        <v>1568</v>
      </c>
      <c r="E29" s="36">
        <v>4</v>
      </c>
      <c r="F29" s="37">
        <v>71250.81</v>
      </c>
      <c r="G29" s="36">
        <v>45.44</v>
      </c>
      <c r="H29" s="37">
        <v>7888.18</v>
      </c>
      <c r="I29" s="37">
        <v>562038.86</v>
      </c>
    </row>
    <row r="30" spans="1:9" x14ac:dyDescent="0.3">
      <c r="A30" s="36">
        <v>21</v>
      </c>
      <c r="B30" s="36" t="s">
        <v>204</v>
      </c>
      <c r="C30" s="37">
        <v>1819.33</v>
      </c>
      <c r="D30" s="37">
        <v>1813.33</v>
      </c>
      <c r="E30" s="36">
        <v>6</v>
      </c>
      <c r="F30" s="37">
        <v>42324.43</v>
      </c>
      <c r="G30" s="36">
        <v>23.34</v>
      </c>
      <c r="H30" s="37">
        <v>11308.38</v>
      </c>
      <c r="I30" s="37">
        <v>478620.85</v>
      </c>
    </row>
    <row r="31" spans="1:9" x14ac:dyDescent="0.3">
      <c r="A31" s="36">
        <v>22</v>
      </c>
      <c r="B31" s="36" t="s">
        <v>34</v>
      </c>
      <c r="C31" s="37">
        <v>2599</v>
      </c>
      <c r="D31" s="37">
        <v>2599</v>
      </c>
      <c r="E31" s="36">
        <v>0</v>
      </c>
      <c r="F31" s="37">
        <v>59112.21</v>
      </c>
      <c r="G31" s="36">
        <v>22.74</v>
      </c>
      <c r="H31" s="37">
        <v>11821.23</v>
      </c>
      <c r="I31" s="37">
        <v>698779.32</v>
      </c>
    </row>
    <row r="32" spans="1:9" ht="27.6" x14ac:dyDescent="0.3">
      <c r="A32" s="36">
        <v>23</v>
      </c>
      <c r="B32" s="36" t="s">
        <v>213</v>
      </c>
      <c r="C32" s="37">
        <v>1526.5</v>
      </c>
      <c r="D32" s="37">
        <v>1526.5</v>
      </c>
      <c r="E32" s="36">
        <v>0</v>
      </c>
      <c r="F32" s="37">
        <v>54656.57</v>
      </c>
      <c r="G32" s="36">
        <v>35.81</v>
      </c>
      <c r="H32" s="37">
        <v>10857.49</v>
      </c>
      <c r="I32" s="37">
        <v>593433.02</v>
      </c>
    </row>
    <row r="33" spans="1:9" x14ac:dyDescent="0.3">
      <c r="A33" s="36">
        <v>24</v>
      </c>
      <c r="B33" s="36" t="s">
        <v>35</v>
      </c>
      <c r="C33" s="36">
        <v>99</v>
      </c>
      <c r="D33" s="36">
        <v>99</v>
      </c>
      <c r="E33" s="36">
        <v>0</v>
      </c>
      <c r="F33" s="37">
        <v>2185.35</v>
      </c>
      <c r="G33" s="36">
        <v>22.07</v>
      </c>
      <c r="H33" s="37">
        <v>6497.7</v>
      </c>
      <c r="I33" s="37">
        <v>14199.74</v>
      </c>
    </row>
    <row r="34" spans="1:9" x14ac:dyDescent="0.3">
      <c r="A34" s="36">
        <v>25</v>
      </c>
      <c r="B34" s="36" t="s">
        <v>37</v>
      </c>
      <c r="C34" s="37">
        <v>4722.16</v>
      </c>
      <c r="D34" s="37">
        <v>4682.16</v>
      </c>
      <c r="E34" s="36">
        <v>40</v>
      </c>
      <c r="F34" s="37">
        <v>197134.19</v>
      </c>
      <c r="G34" s="36">
        <v>42.1</v>
      </c>
      <c r="H34" s="37">
        <v>4472.84</v>
      </c>
      <c r="I34" s="37">
        <v>881749.76</v>
      </c>
    </row>
    <row r="35" spans="1:9" x14ac:dyDescent="0.3">
      <c r="A35" s="130" t="s">
        <v>38</v>
      </c>
      <c r="B35" s="131"/>
      <c r="C35" s="38">
        <v>52328.54</v>
      </c>
      <c r="D35" s="38">
        <v>52239.54</v>
      </c>
      <c r="E35" s="39">
        <v>89</v>
      </c>
      <c r="F35" s="38">
        <v>1672989.99</v>
      </c>
      <c r="G35" s="39">
        <v>32.03</v>
      </c>
      <c r="H35" s="38">
        <v>7306</v>
      </c>
      <c r="I35" s="38">
        <v>12222861.02</v>
      </c>
    </row>
  </sheetData>
  <mergeCells count="6">
    <mergeCell ref="F7:F9"/>
    <mergeCell ref="A35:B35"/>
    <mergeCell ref="A7:A9"/>
    <mergeCell ref="B7:B9"/>
    <mergeCell ref="C7:E7"/>
    <mergeCell ref="C8:E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workbookViewId="0">
      <selection activeCell="G28" sqref="G27:G28"/>
    </sheetView>
  </sheetViews>
  <sheetFormatPr defaultRowHeight="14.4" x14ac:dyDescent="0.3"/>
  <cols>
    <col min="6" max="6" width="10" bestFit="1" customWidth="1"/>
    <col min="9" max="9" width="11.44140625" bestFit="1" customWidth="1"/>
  </cols>
  <sheetData>
    <row r="1" spans="1:9" x14ac:dyDescent="0.3">
      <c r="A1" s="31" t="s">
        <v>0</v>
      </c>
      <c r="B1" s="30"/>
      <c r="C1" s="30"/>
      <c r="D1" s="30"/>
      <c r="E1" s="30"/>
      <c r="F1" s="30"/>
      <c r="G1" s="30"/>
      <c r="H1" s="30"/>
      <c r="I1" s="30"/>
    </row>
    <row r="2" spans="1:9" x14ac:dyDescent="0.3">
      <c r="A2" s="31" t="s">
        <v>1</v>
      </c>
      <c r="B2" s="30"/>
      <c r="C2" s="30"/>
      <c r="D2" s="30"/>
      <c r="E2" s="30"/>
      <c r="F2" s="30"/>
      <c r="G2" s="30"/>
      <c r="H2" s="30"/>
      <c r="I2" s="30"/>
    </row>
    <row r="3" spans="1:9" x14ac:dyDescent="0.3">
      <c r="A3" s="31" t="s">
        <v>2</v>
      </c>
      <c r="B3" s="30"/>
      <c r="C3" s="30"/>
      <c r="D3" s="30"/>
      <c r="E3" s="30"/>
      <c r="F3" s="30"/>
      <c r="G3" s="30"/>
      <c r="H3" s="30"/>
      <c r="I3" s="30"/>
    </row>
    <row r="4" spans="1:9" x14ac:dyDescent="0.3">
      <c r="A4" s="31" t="s">
        <v>3</v>
      </c>
      <c r="B4" s="30"/>
      <c r="C4" s="30"/>
      <c r="D4" s="30"/>
      <c r="E4" s="30"/>
      <c r="F4" s="30"/>
      <c r="G4" s="30"/>
      <c r="H4" s="30"/>
      <c r="I4" s="30"/>
    </row>
    <row r="5" spans="1:9" x14ac:dyDescent="0.3">
      <c r="A5" s="31" t="s">
        <v>217</v>
      </c>
      <c r="B5" s="30"/>
      <c r="C5" s="30"/>
      <c r="D5" s="30"/>
      <c r="E5" s="30"/>
      <c r="F5" s="30"/>
      <c r="G5" s="30"/>
      <c r="H5" s="30"/>
      <c r="I5" s="30"/>
    </row>
    <row r="6" spans="1:9" x14ac:dyDescent="0.3">
      <c r="A6" s="30"/>
      <c r="B6" s="30"/>
      <c r="C6" s="30"/>
      <c r="D6" s="30"/>
      <c r="E6" s="30"/>
      <c r="F6" s="30"/>
      <c r="G6" s="30"/>
      <c r="H6" s="30"/>
      <c r="I6" s="30"/>
    </row>
    <row r="7" spans="1:9" ht="27.6" x14ac:dyDescent="0.3">
      <c r="A7" s="132"/>
      <c r="B7" s="132" t="s">
        <v>5</v>
      </c>
      <c r="C7" s="135" t="s">
        <v>6</v>
      </c>
      <c r="D7" s="136"/>
      <c r="E7" s="137"/>
      <c r="F7" s="132" t="s">
        <v>8</v>
      </c>
      <c r="G7" s="32" t="s">
        <v>9</v>
      </c>
      <c r="H7" s="32" t="s">
        <v>11</v>
      </c>
      <c r="I7" s="32" t="s">
        <v>13</v>
      </c>
    </row>
    <row r="8" spans="1:9" ht="27.6" x14ac:dyDescent="0.3">
      <c r="A8" s="133"/>
      <c r="B8" s="133"/>
      <c r="C8" s="138" t="s">
        <v>7</v>
      </c>
      <c r="D8" s="139"/>
      <c r="E8" s="140"/>
      <c r="F8" s="133"/>
      <c r="G8" s="33" t="s">
        <v>10</v>
      </c>
      <c r="H8" s="33" t="s">
        <v>12</v>
      </c>
      <c r="I8" s="33" t="s">
        <v>14</v>
      </c>
    </row>
    <row r="9" spans="1:9" ht="27.6" x14ac:dyDescent="0.3">
      <c r="A9" s="134"/>
      <c r="B9" s="134"/>
      <c r="C9" s="35" t="s">
        <v>15</v>
      </c>
      <c r="D9" s="35" t="s">
        <v>16</v>
      </c>
      <c r="E9" s="35" t="s">
        <v>17</v>
      </c>
      <c r="F9" s="134"/>
      <c r="G9" s="34"/>
      <c r="H9" s="34"/>
      <c r="I9" s="34"/>
    </row>
    <row r="10" spans="1:9" ht="27.6" x14ac:dyDescent="0.3">
      <c r="A10" s="36">
        <v>1</v>
      </c>
      <c r="B10" s="36" t="s">
        <v>18</v>
      </c>
      <c r="C10" s="36">
        <v>131</v>
      </c>
      <c r="D10" s="36">
        <v>131</v>
      </c>
      <c r="E10" s="36">
        <v>0</v>
      </c>
      <c r="F10" s="37">
        <v>2927.8</v>
      </c>
      <c r="G10" s="36">
        <v>22.35</v>
      </c>
      <c r="H10" s="37">
        <v>4071.75</v>
      </c>
      <c r="I10" s="37">
        <v>11921.27</v>
      </c>
    </row>
    <row r="11" spans="1:9" ht="27.6" x14ac:dyDescent="0.3">
      <c r="A11" s="36">
        <v>2</v>
      </c>
      <c r="B11" s="36" t="s">
        <v>19</v>
      </c>
      <c r="C11" s="36">
        <v>96</v>
      </c>
      <c r="D11" s="36">
        <v>96</v>
      </c>
      <c r="E11" s="36">
        <v>0</v>
      </c>
      <c r="F11" s="37">
        <v>2006</v>
      </c>
      <c r="G11" s="36">
        <v>20.9</v>
      </c>
      <c r="H11" s="37">
        <v>14688.67</v>
      </c>
      <c r="I11" s="37">
        <v>29465.48</v>
      </c>
    </row>
    <row r="12" spans="1:9" ht="41.4" x14ac:dyDescent="0.3">
      <c r="A12" s="36">
        <v>3</v>
      </c>
      <c r="B12" s="36" t="s">
        <v>20</v>
      </c>
      <c r="C12" s="36">
        <v>263.8</v>
      </c>
      <c r="D12" s="36">
        <v>263.8</v>
      </c>
      <c r="E12" s="36">
        <v>0</v>
      </c>
      <c r="F12" s="37">
        <v>8350.4699999999993</v>
      </c>
      <c r="G12" s="36">
        <v>31.65</v>
      </c>
      <c r="H12" s="37">
        <v>6404.79</v>
      </c>
      <c r="I12" s="37">
        <v>53483</v>
      </c>
    </row>
    <row r="13" spans="1:9" ht="27.6" x14ac:dyDescent="0.3">
      <c r="A13" s="36">
        <v>4</v>
      </c>
      <c r="B13" s="36" t="s">
        <v>206</v>
      </c>
      <c r="C13" s="36">
        <v>122</v>
      </c>
      <c r="D13" s="36">
        <v>122</v>
      </c>
      <c r="E13" s="36">
        <v>0</v>
      </c>
      <c r="F13" s="37">
        <v>1224.96</v>
      </c>
      <c r="G13" s="36">
        <v>10.039999999999999</v>
      </c>
      <c r="H13" s="37">
        <v>12641.5</v>
      </c>
      <c r="I13" s="37">
        <v>15485.33</v>
      </c>
    </row>
    <row r="14" spans="1:9" x14ac:dyDescent="0.3">
      <c r="A14" s="36">
        <v>5</v>
      </c>
      <c r="B14" s="36" t="s">
        <v>21</v>
      </c>
      <c r="C14" s="36">
        <v>182.8</v>
      </c>
      <c r="D14" s="36">
        <v>182.8</v>
      </c>
      <c r="E14" s="36">
        <v>0</v>
      </c>
      <c r="F14" s="37">
        <v>3463.47</v>
      </c>
      <c r="G14" s="36">
        <v>18.95</v>
      </c>
      <c r="H14" s="37">
        <v>8620.68</v>
      </c>
      <c r="I14" s="37">
        <v>29857.46</v>
      </c>
    </row>
    <row r="15" spans="1:9" x14ac:dyDescent="0.3">
      <c r="A15" s="36">
        <v>6</v>
      </c>
      <c r="B15" s="36" t="s">
        <v>202</v>
      </c>
      <c r="C15" s="36">
        <v>4.9000000000000004</v>
      </c>
      <c r="D15" s="36">
        <v>4.9000000000000004</v>
      </c>
      <c r="E15" s="36">
        <v>0</v>
      </c>
      <c r="F15" s="36">
        <v>76.42</v>
      </c>
      <c r="G15" s="36">
        <v>15.6</v>
      </c>
      <c r="H15" s="37">
        <v>6308.6</v>
      </c>
      <c r="I15" s="36">
        <v>482.1</v>
      </c>
    </row>
    <row r="16" spans="1:9" ht="27.6" x14ac:dyDescent="0.3">
      <c r="A16" s="36">
        <v>7</v>
      </c>
      <c r="B16" s="36" t="s">
        <v>22</v>
      </c>
      <c r="C16" s="36">
        <v>192.5</v>
      </c>
      <c r="D16" s="36">
        <v>192.5</v>
      </c>
      <c r="E16" s="36">
        <v>0</v>
      </c>
      <c r="F16" s="37">
        <v>4233.42</v>
      </c>
      <c r="G16" s="36">
        <v>21.99</v>
      </c>
      <c r="H16" s="37">
        <v>8808.84</v>
      </c>
      <c r="I16" s="37">
        <v>37291.519999999997</v>
      </c>
    </row>
    <row r="17" spans="1:9" ht="27.6" x14ac:dyDescent="0.3">
      <c r="A17" s="36">
        <v>8</v>
      </c>
      <c r="B17" s="36" t="s">
        <v>207</v>
      </c>
      <c r="C17" s="36">
        <v>87</v>
      </c>
      <c r="D17" s="36">
        <v>87</v>
      </c>
      <c r="E17" s="36">
        <v>0</v>
      </c>
      <c r="F17" s="36">
        <v>870.7</v>
      </c>
      <c r="G17" s="36">
        <v>10.01</v>
      </c>
      <c r="H17" s="37">
        <v>11595.68</v>
      </c>
      <c r="I17" s="37">
        <v>10096.36</v>
      </c>
    </row>
    <row r="18" spans="1:9" x14ac:dyDescent="0.3">
      <c r="A18" s="36">
        <v>9</v>
      </c>
      <c r="B18" s="36" t="s">
        <v>208</v>
      </c>
      <c r="C18" s="36">
        <v>46.7</v>
      </c>
      <c r="D18" s="36">
        <v>46.7</v>
      </c>
      <c r="E18" s="36">
        <v>0</v>
      </c>
      <c r="F18" s="37">
        <v>1301.1500000000001</v>
      </c>
      <c r="G18" s="36">
        <v>27.86</v>
      </c>
      <c r="H18" s="37">
        <v>7139.91</v>
      </c>
      <c r="I18" s="37">
        <v>9290.09</v>
      </c>
    </row>
    <row r="19" spans="1:9" ht="27.6" x14ac:dyDescent="0.3">
      <c r="A19" s="36">
        <v>10</v>
      </c>
      <c r="B19" s="36" t="s">
        <v>23</v>
      </c>
      <c r="C19" s="36">
        <v>680.5</v>
      </c>
      <c r="D19" s="36">
        <v>680.5</v>
      </c>
      <c r="E19" s="36">
        <v>0</v>
      </c>
      <c r="F19" s="37">
        <v>10719.48</v>
      </c>
      <c r="G19" s="36">
        <v>15.75</v>
      </c>
      <c r="H19" s="37">
        <v>5540.34</v>
      </c>
      <c r="I19" s="37">
        <v>59389.599999999999</v>
      </c>
    </row>
    <row r="20" spans="1:9" x14ac:dyDescent="0.3">
      <c r="A20" s="36">
        <v>11</v>
      </c>
      <c r="B20" s="36" t="s">
        <v>24</v>
      </c>
      <c r="C20" s="36">
        <v>680.91</v>
      </c>
      <c r="D20" s="36">
        <v>680.91</v>
      </c>
      <c r="E20" s="36">
        <v>0</v>
      </c>
      <c r="F20" s="37">
        <v>7435.7</v>
      </c>
      <c r="G20" s="36">
        <v>10.92</v>
      </c>
      <c r="H20" s="37">
        <v>6614.16</v>
      </c>
      <c r="I20" s="37">
        <v>49180.94</v>
      </c>
    </row>
    <row r="21" spans="1:9" x14ac:dyDescent="0.3">
      <c r="A21" s="36">
        <v>12</v>
      </c>
      <c r="B21" s="36" t="s">
        <v>25</v>
      </c>
      <c r="C21" s="37">
        <v>1757.07</v>
      </c>
      <c r="D21" s="37">
        <v>1733.07</v>
      </c>
      <c r="E21" s="36">
        <v>24</v>
      </c>
      <c r="F21" s="37">
        <v>30930.22</v>
      </c>
      <c r="G21" s="36">
        <v>17.850000000000001</v>
      </c>
      <c r="H21" s="37">
        <v>4411.05</v>
      </c>
      <c r="I21" s="37">
        <v>136434.82999999999</v>
      </c>
    </row>
    <row r="22" spans="1:9" x14ac:dyDescent="0.3">
      <c r="A22" s="36">
        <v>13</v>
      </c>
      <c r="B22" s="36" t="s">
        <v>26</v>
      </c>
      <c r="C22" s="36">
        <v>708.5</v>
      </c>
      <c r="D22" s="36">
        <v>708.5</v>
      </c>
      <c r="E22" s="36">
        <v>0</v>
      </c>
      <c r="F22" s="37">
        <v>16065.95</v>
      </c>
      <c r="G22" s="36">
        <v>22.68</v>
      </c>
      <c r="H22" s="37">
        <v>7440.72</v>
      </c>
      <c r="I22" s="37">
        <v>119542.31</v>
      </c>
    </row>
    <row r="23" spans="1:9" x14ac:dyDescent="0.3">
      <c r="A23" s="36">
        <v>14</v>
      </c>
      <c r="B23" s="36" t="s">
        <v>209</v>
      </c>
      <c r="C23" s="36">
        <v>902.71</v>
      </c>
      <c r="D23" s="36">
        <v>902.71</v>
      </c>
      <c r="E23" s="36">
        <v>0</v>
      </c>
      <c r="F23" s="37">
        <v>13455.84</v>
      </c>
      <c r="G23" s="36">
        <v>14.91</v>
      </c>
      <c r="H23" s="37">
        <v>6537.21</v>
      </c>
      <c r="I23" s="37">
        <v>87963.71</v>
      </c>
    </row>
    <row r="24" spans="1:9" ht="27.6" x14ac:dyDescent="0.3">
      <c r="A24" s="36">
        <v>15</v>
      </c>
      <c r="B24" s="36" t="s">
        <v>27</v>
      </c>
      <c r="C24" s="37">
        <v>1907</v>
      </c>
      <c r="D24" s="37">
        <v>1907</v>
      </c>
      <c r="E24" s="36">
        <v>0</v>
      </c>
      <c r="F24" s="37">
        <v>41013</v>
      </c>
      <c r="G24" s="36">
        <v>21.51</v>
      </c>
      <c r="H24" s="37">
        <v>6714.68</v>
      </c>
      <c r="I24" s="37">
        <v>275389.3</v>
      </c>
    </row>
    <row r="25" spans="1:9" x14ac:dyDescent="0.3">
      <c r="A25" s="36">
        <v>16</v>
      </c>
      <c r="B25" s="36" t="s">
        <v>210</v>
      </c>
      <c r="C25" s="37">
        <v>1294.5</v>
      </c>
      <c r="D25" s="37">
        <v>1294.5</v>
      </c>
      <c r="E25" s="36">
        <v>0</v>
      </c>
      <c r="F25" s="37">
        <v>18629.66</v>
      </c>
      <c r="G25" s="36">
        <v>14.39</v>
      </c>
      <c r="H25" s="37">
        <v>5067.95</v>
      </c>
      <c r="I25" s="37">
        <v>94414.12</v>
      </c>
    </row>
    <row r="26" spans="1:9" x14ac:dyDescent="0.3">
      <c r="A26" s="36">
        <v>17</v>
      </c>
      <c r="B26" s="36" t="s">
        <v>28</v>
      </c>
      <c r="C26" s="36">
        <v>80.2</v>
      </c>
      <c r="D26" s="36">
        <v>80.2</v>
      </c>
      <c r="E26" s="36">
        <v>0</v>
      </c>
      <c r="F26" s="36">
        <v>914.88</v>
      </c>
      <c r="G26" s="36">
        <v>11.41</v>
      </c>
      <c r="H26" s="37">
        <v>6766.9</v>
      </c>
      <c r="I26" s="37">
        <v>6190.9</v>
      </c>
    </row>
    <row r="27" spans="1:9" ht="27.6" x14ac:dyDescent="0.3">
      <c r="A27" s="36">
        <v>18</v>
      </c>
      <c r="B27" s="36" t="s">
        <v>29</v>
      </c>
      <c r="C27" s="36">
        <v>50</v>
      </c>
      <c r="D27" s="36">
        <v>50</v>
      </c>
      <c r="E27" s="36">
        <v>0</v>
      </c>
      <c r="F27" s="37">
        <v>1050</v>
      </c>
      <c r="G27" s="36">
        <v>21</v>
      </c>
      <c r="H27" s="37">
        <v>10245.879999999999</v>
      </c>
      <c r="I27" s="37">
        <v>10758.18</v>
      </c>
    </row>
    <row r="28" spans="1:9" x14ac:dyDescent="0.3">
      <c r="A28" s="36">
        <v>19</v>
      </c>
      <c r="B28" s="36" t="s">
        <v>30</v>
      </c>
      <c r="C28" s="36">
        <v>526.91999999999996</v>
      </c>
      <c r="D28" s="36">
        <v>526.91999999999996</v>
      </c>
      <c r="E28" s="36">
        <v>0</v>
      </c>
      <c r="F28" s="37">
        <v>12748.93</v>
      </c>
      <c r="G28" s="36">
        <v>24.2</v>
      </c>
      <c r="H28" s="37">
        <v>6335.49</v>
      </c>
      <c r="I28" s="37">
        <v>80770.78</v>
      </c>
    </row>
    <row r="29" spans="1:9" x14ac:dyDescent="0.3">
      <c r="A29" s="36">
        <v>20</v>
      </c>
      <c r="B29" s="36" t="s">
        <v>31</v>
      </c>
      <c r="C29" s="37">
        <v>3944.7</v>
      </c>
      <c r="D29" s="37">
        <v>3944.7</v>
      </c>
      <c r="E29" s="36">
        <v>0</v>
      </c>
      <c r="F29" s="37">
        <v>67839.19</v>
      </c>
      <c r="G29" s="36">
        <v>17.2</v>
      </c>
      <c r="H29" s="37">
        <v>5894.5</v>
      </c>
      <c r="I29" s="37">
        <v>399878.31</v>
      </c>
    </row>
    <row r="30" spans="1:9" x14ac:dyDescent="0.3">
      <c r="A30" s="36">
        <v>21</v>
      </c>
      <c r="B30" s="36" t="s">
        <v>32</v>
      </c>
      <c r="C30" s="36">
        <v>51.5</v>
      </c>
      <c r="D30" s="36">
        <v>51.5</v>
      </c>
      <c r="E30" s="36">
        <v>0</v>
      </c>
      <c r="F30" s="36">
        <v>690.52</v>
      </c>
      <c r="G30" s="36">
        <v>13.41</v>
      </c>
      <c r="H30" s="37">
        <v>7346.93</v>
      </c>
      <c r="I30" s="37">
        <v>5073.2</v>
      </c>
    </row>
    <row r="31" spans="1:9" ht="27.6" x14ac:dyDescent="0.3">
      <c r="A31" s="36">
        <v>22</v>
      </c>
      <c r="B31" s="36" t="s">
        <v>211</v>
      </c>
      <c r="C31" s="36">
        <v>312</v>
      </c>
      <c r="D31" s="36">
        <v>312</v>
      </c>
      <c r="E31" s="36">
        <v>0</v>
      </c>
      <c r="F31" s="37">
        <v>2922.73</v>
      </c>
      <c r="G31" s="36">
        <v>9.3699999999999992</v>
      </c>
      <c r="H31" s="37">
        <v>8248.02</v>
      </c>
      <c r="I31" s="37">
        <v>24106.720000000001</v>
      </c>
    </row>
    <row r="32" spans="1:9" ht="27.6" x14ac:dyDescent="0.3">
      <c r="A32" s="36">
        <v>23</v>
      </c>
      <c r="B32" s="36" t="s">
        <v>33</v>
      </c>
      <c r="C32" s="36">
        <v>349</v>
      </c>
      <c r="D32" s="36">
        <v>349</v>
      </c>
      <c r="E32" s="36">
        <v>0</v>
      </c>
      <c r="F32" s="37">
        <v>8378.0400000000009</v>
      </c>
      <c r="G32" s="36">
        <v>24.01</v>
      </c>
      <c r="H32" s="37">
        <v>7986.65</v>
      </c>
      <c r="I32" s="37">
        <v>66912.479999999996</v>
      </c>
    </row>
    <row r="33" spans="1:9" x14ac:dyDescent="0.3">
      <c r="A33" s="36">
        <v>24</v>
      </c>
      <c r="B33" s="36" t="s">
        <v>204</v>
      </c>
      <c r="C33" s="37">
        <v>1945.8</v>
      </c>
      <c r="D33" s="37">
        <v>1909.8</v>
      </c>
      <c r="E33" s="36">
        <v>36</v>
      </c>
      <c r="F33" s="37">
        <v>54335.96</v>
      </c>
      <c r="G33" s="36">
        <v>28.45</v>
      </c>
      <c r="H33" s="37">
        <v>6905.62</v>
      </c>
      <c r="I33" s="37">
        <v>375223.7</v>
      </c>
    </row>
    <row r="34" spans="1:9" x14ac:dyDescent="0.3">
      <c r="A34" s="36">
        <v>25</v>
      </c>
      <c r="B34" s="36" t="s">
        <v>34</v>
      </c>
      <c r="C34" s="37">
        <v>4721</v>
      </c>
      <c r="D34" s="37">
        <v>4721</v>
      </c>
      <c r="E34" s="36">
        <v>0</v>
      </c>
      <c r="F34" s="37">
        <v>128290.89</v>
      </c>
      <c r="G34" s="36">
        <v>27.17</v>
      </c>
      <c r="H34" s="37">
        <v>7299.63</v>
      </c>
      <c r="I34" s="37">
        <v>936476.33</v>
      </c>
    </row>
    <row r="35" spans="1:9" ht="27.6" x14ac:dyDescent="0.3">
      <c r="A35" s="36">
        <v>26</v>
      </c>
      <c r="B35" s="36" t="s">
        <v>213</v>
      </c>
      <c r="C35" s="36">
        <v>5.5</v>
      </c>
      <c r="D35" s="36">
        <v>5.5</v>
      </c>
      <c r="E35" s="36">
        <v>0</v>
      </c>
      <c r="F35" s="36">
        <v>90</v>
      </c>
      <c r="G35" s="36">
        <v>16.36</v>
      </c>
      <c r="H35" s="37">
        <v>8343.5</v>
      </c>
      <c r="I35" s="36">
        <v>750.91</v>
      </c>
    </row>
    <row r="36" spans="1:9" x14ac:dyDescent="0.3">
      <c r="A36" s="36">
        <v>27</v>
      </c>
      <c r="B36" s="36" t="s">
        <v>35</v>
      </c>
      <c r="C36" s="36">
        <v>25</v>
      </c>
      <c r="D36" s="36">
        <v>25</v>
      </c>
      <c r="E36" s="36">
        <v>0</v>
      </c>
      <c r="F36" s="36">
        <v>347.19</v>
      </c>
      <c r="G36" s="36">
        <v>13.89</v>
      </c>
      <c r="H36" s="37">
        <v>5994.38</v>
      </c>
      <c r="I36" s="37">
        <v>2081.19</v>
      </c>
    </row>
    <row r="37" spans="1:9" x14ac:dyDescent="0.3">
      <c r="A37" s="36">
        <v>28</v>
      </c>
      <c r="B37" s="36" t="s">
        <v>36</v>
      </c>
      <c r="C37" s="36">
        <v>321.70999999999998</v>
      </c>
      <c r="D37" s="36">
        <v>321.70999999999998</v>
      </c>
      <c r="E37" s="36">
        <v>0</v>
      </c>
      <c r="F37" s="37">
        <v>3603.5</v>
      </c>
      <c r="G37" s="36">
        <v>11.2</v>
      </c>
      <c r="H37" s="37">
        <v>6721.64</v>
      </c>
      <c r="I37" s="37">
        <v>24221.43</v>
      </c>
    </row>
    <row r="38" spans="1:9" x14ac:dyDescent="0.3">
      <c r="A38" s="36">
        <v>29</v>
      </c>
      <c r="B38" s="36" t="s">
        <v>214</v>
      </c>
      <c r="C38" s="36">
        <v>990.2</v>
      </c>
      <c r="D38" s="36">
        <v>990.2</v>
      </c>
      <c r="E38" s="36">
        <v>0</v>
      </c>
      <c r="F38" s="37">
        <v>17506.77</v>
      </c>
      <c r="G38" s="36">
        <v>17.68</v>
      </c>
      <c r="H38" s="37">
        <v>7314.14</v>
      </c>
      <c r="I38" s="37">
        <v>128046.91</v>
      </c>
    </row>
    <row r="39" spans="1:9" x14ac:dyDescent="0.3">
      <c r="A39" s="36">
        <v>30</v>
      </c>
      <c r="B39" s="36" t="s">
        <v>37</v>
      </c>
      <c r="C39" s="36">
        <v>777.56</v>
      </c>
      <c r="D39" s="36">
        <v>777.56</v>
      </c>
      <c r="E39" s="36">
        <v>0</v>
      </c>
      <c r="F39" s="37">
        <v>19836.04</v>
      </c>
      <c r="G39" s="36">
        <v>25.51</v>
      </c>
      <c r="H39" s="37">
        <v>5701.61</v>
      </c>
      <c r="I39" s="37">
        <v>113097.33</v>
      </c>
    </row>
    <row r="40" spans="1:9" x14ac:dyDescent="0.3">
      <c r="A40" s="130" t="s">
        <v>38</v>
      </c>
      <c r="B40" s="131"/>
      <c r="C40" s="38">
        <v>23158.98</v>
      </c>
      <c r="D40" s="38">
        <v>23098.98</v>
      </c>
      <c r="E40" s="39">
        <v>60</v>
      </c>
      <c r="F40" s="38">
        <v>481258.88</v>
      </c>
      <c r="G40" s="39">
        <v>20.83</v>
      </c>
      <c r="H40" s="38">
        <v>6635.26</v>
      </c>
      <c r="I40" s="38">
        <v>3193275.8</v>
      </c>
    </row>
  </sheetData>
  <mergeCells count="6">
    <mergeCell ref="A40:B40"/>
    <mergeCell ref="A7:A9"/>
    <mergeCell ref="B7:B9"/>
    <mergeCell ref="C7:E7"/>
    <mergeCell ref="F7:F9"/>
    <mergeCell ref="C8:E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K7" sqref="K7"/>
    </sheetView>
  </sheetViews>
  <sheetFormatPr defaultRowHeight="14.4" x14ac:dyDescent="0.3"/>
  <cols>
    <col min="6" max="6" width="10" bestFit="1" customWidth="1"/>
    <col min="9" max="9" width="12.44140625" bestFit="1" customWidth="1"/>
  </cols>
  <sheetData>
    <row r="1" spans="1:9" x14ac:dyDescent="0.3">
      <c r="A1" s="41" t="s">
        <v>0</v>
      </c>
      <c r="B1" s="40"/>
      <c r="C1" s="40"/>
      <c r="D1" s="40"/>
      <c r="E1" s="40"/>
      <c r="F1" s="40"/>
      <c r="G1" s="40"/>
      <c r="H1" s="40"/>
      <c r="I1" s="40"/>
    </row>
    <row r="2" spans="1:9" x14ac:dyDescent="0.3">
      <c r="A2" s="41" t="s">
        <v>1</v>
      </c>
      <c r="B2" s="40"/>
      <c r="C2" s="40"/>
      <c r="D2" s="40"/>
      <c r="E2" s="40"/>
      <c r="F2" s="40"/>
      <c r="G2" s="40"/>
      <c r="H2" s="40"/>
      <c r="I2" s="40"/>
    </row>
    <row r="3" spans="1:9" x14ac:dyDescent="0.3">
      <c r="A3" s="41" t="s">
        <v>2</v>
      </c>
      <c r="B3" s="40"/>
      <c r="C3" s="40"/>
      <c r="D3" s="40"/>
      <c r="E3" s="40"/>
      <c r="F3" s="40"/>
      <c r="G3" s="40"/>
      <c r="H3" s="40"/>
      <c r="I3" s="40"/>
    </row>
    <row r="4" spans="1:9" x14ac:dyDescent="0.3">
      <c r="A4" s="41" t="s">
        <v>3</v>
      </c>
      <c r="B4" s="40"/>
      <c r="C4" s="40"/>
      <c r="D4" s="40"/>
      <c r="E4" s="40"/>
      <c r="F4" s="40"/>
      <c r="G4" s="40"/>
      <c r="H4" s="40"/>
      <c r="I4" s="40"/>
    </row>
    <row r="5" spans="1:9" x14ac:dyDescent="0.3">
      <c r="A5" s="41" t="s">
        <v>218</v>
      </c>
      <c r="B5" s="40"/>
      <c r="C5" s="40"/>
      <c r="D5" s="40"/>
      <c r="E5" s="40"/>
      <c r="F5" s="40"/>
      <c r="G5" s="40"/>
      <c r="H5" s="40"/>
      <c r="I5" s="40"/>
    </row>
    <row r="7" spans="1:9" ht="27.6" x14ac:dyDescent="0.3">
      <c r="A7" s="132"/>
      <c r="B7" s="132" t="s">
        <v>5</v>
      </c>
      <c r="C7" s="135" t="s">
        <v>6</v>
      </c>
      <c r="D7" s="136"/>
      <c r="E7" s="137"/>
      <c r="F7" s="132" t="s">
        <v>8</v>
      </c>
      <c r="G7" s="42" t="s">
        <v>9</v>
      </c>
      <c r="H7" s="42" t="s">
        <v>11</v>
      </c>
      <c r="I7" s="42" t="s">
        <v>13</v>
      </c>
    </row>
    <row r="8" spans="1:9" ht="27.6" x14ac:dyDescent="0.3">
      <c r="A8" s="133"/>
      <c r="B8" s="133"/>
      <c r="C8" s="138" t="s">
        <v>7</v>
      </c>
      <c r="D8" s="139"/>
      <c r="E8" s="140"/>
      <c r="F8" s="133"/>
      <c r="G8" s="43" t="s">
        <v>10</v>
      </c>
      <c r="H8" s="43" t="s">
        <v>12</v>
      </c>
      <c r="I8" s="43" t="s">
        <v>14</v>
      </c>
    </row>
    <row r="9" spans="1:9" ht="27.6" x14ac:dyDescent="0.3">
      <c r="A9" s="134"/>
      <c r="B9" s="134"/>
      <c r="C9" s="45" t="s">
        <v>15</v>
      </c>
      <c r="D9" s="45" t="s">
        <v>16</v>
      </c>
      <c r="E9" s="45" t="s">
        <v>17</v>
      </c>
      <c r="F9" s="134"/>
      <c r="G9" s="44"/>
      <c r="H9" s="44"/>
      <c r="I9" s="44"/>
    </row>
    <row r="10" spans="1:9" ht="27.6" x14ac:dyDescent="0.3">
      <c r="A10" s="46">
        <v>1</v>
      </c>
      <c r="B10" s="46" t="s">
        <v>18</v>
      </c>
      <c r="C10" s="46">
        <v>63.8</v>
      </c>
      <c r="D10" s="46">
        <v>63.8</v>
      </c>
      <c r="E10" s="46">
        <v>0</v>
      </c>
      <c r="F10" s="47">
        <v>3034.39</v>
      </c>
      <c r="G10" s="46">
        <v>47.56</v>
      </c>
      <c r="H10" s="47">
        <v>16422.98</v>
      </c>
      <c r="I10" s="47">
        <v>49833.74</v>
      </c>
    </row>
    <row r="11" spans="1:9" ht="27.6" x14ac:dyDescent="0.3">
      <c r="A11" s="46">
        <v>2</v>
      </c>
      <c r="B11" s="46" t="s">
        <v>19</v>
      </c>
      <c r="C11" s="47">
        <v>2958.4</v>
      </c>
      <c r="D11" s="47">
        <v>2958.4</v>
      </c>
      <c r="E11" s="46">
        <v>0</v>
      </c>
      <c r="F11" s="47">
        <v>137424.42000000001</v>
      </c>
      <c r="G11" s="46">
        <v>46.45</v>
      </c>
      <c r="H11" s="47">
        <v>39420.160000000003</v>
      </c>
      <c r="I11" s="47">
        <v>5417292.04</v>
      </c>
    </row>
    <row r="12" spans="1:9" ht="41.4" x14ac:dyDescent="0.3">
      <c r="A12" s="46">
        <v>3</v>
      </c>
      <c r="B12" s="46" t="s">
        <v>20</v>
      </c>
      <c r="C12" s="46">
        <v>179</v>
      </c>
      <c r="D12" s="46">
        <v>179</v>
      </c>
      <c r="E12" s="46">
        <v>0</v>
      </c>
      <c r="F12" s="47">
        <v>8852.07</v>
      </c>
      <c r="G12" s="46">
        <v>49.45</v>
      </c>
      <c r="H12" s="47">
        <v>20975.87</v>
      </c>
      <c r="I12" s="47">
        <v>185679.86</v>
      </c>
    </row>
    <row r="13" spans="1:9" ht="27.6" x14ac:dyDescent="0.3">
      <c r="A13" s="46">
        <v>4</v>
      </c>
      <c r="B13" s="46" t="s">
        <v>22</v>
      </c>
      <c r="C13" s="46">
        <v>2</v>
      </c>
      <c r="D13" s="46">
        <v>2</v>
      </c>
      <c r="E13" s="46">
        <v>0</v>
      </c>
      <c r="F13" s="46">
        <v>86.2</v>
      </c>
      <c r="G13" s="46">
        <v>43.1</v>
      </c>
      <c r="H13" s="47">
        <v>22000</v>
      </c>
      <c r="I13" s="47">
        <v>1896.4</v>
      </c>
    </row>
    <row r="14" spans="1:9" ht="27.6" x14ac:dyDescent="0.3">
      <c r="A14" s="46">
        <v>5</v>
      </c>
      <c r="B14" s="46" t="s">
        <v>23</v>
      </c>
      <c r="C14" s="47">
        <v>1993.6</v>
      </c>
      <c r="D14" s="47">
        <v>1915.5</v>
      </c>
      <c r="E14" s="46">
        <v>0</v>
      </c>
      <c r="F14" s="47">
        <v>107920.17</v>
      </c>
      <c r="G14" s="46">
        <v>56.34</v>
      </c>
      <c r="H14" s="47">
        <v>13918.88</v>
      </c>
      <c r="I14" s="47">
        <v>1502127.91</v>
      </c>
    </row>
    <row r="15" spans="1:9" x14ac:dyDescent="0.3">
      <c r="A15" s="46">
        <v>6</v>
      </c>
      <c r="B15" s="46" t="s">
        <v>26</v>
      </c>
      <c r="C15" s="46">
        <v>554</v>
      </c>
      <c r="D15" s="46">
        <v>554</v>
      </c>
      <c r="E15" s="46">
        <v>0</v>
      </c>
      <c r="F15" s="47">
        <v>17016.439999999999</v>
      </c>
      <c r="G15" s="46">
        <v>30.72</v>
      </c>
      <c r="H15" s="47">
        <v>37411.019999999997</v>
      </c>
      <c r="I15" s="47">
        <v>636602.37</v>
      </c>
    </row>
    <row r="16" spans="1:9" x14ac:dyDescent="0.3">
      <c r="A16" s="46">
        <v>7</v>
      </c>
      <c r="B16" s="46" t="s">
        <v>209</v>
      </c>
      <c r="C16" s="46">
        <v>391.7</v>
      </c>
      <c r="D16" s="46">
        <v>391.7</v>
      </c>
      <c r="E16" s="46">
        <v>0</v>
      </c>
      <c r="F16" s="47">
        <v>8540.85</v>
      </c>
      <c r="G16" s="46">
        <v>21.8</v>
      </c>
      <c r="H16" s="47">
        <v>19768.759999999998</v>
      </c>
      <c r="I16" s="47">
        <v>168842.01</v>
      </c>
    </row>
    <row r="17" spans="1:9" ht="27.6" x14ac:dyDescent="0.3">
      <c r="A17" s="46">
        <v>8</v>
      </c>
      <c r="B17" s="46" t="s">
        <v>27</v>
      </c>
      <c r="C17" s="47">
        <v>9720</v>
      </c>
      <c r="D17" s="47">
        <v>9720</v>
      </c>
      <c r="E17" s="46">
        <v>0</v>
      </c>
      <c r="F17" s="47">
        <v>411927.4</v>
      </c>
      <c r="G17" s="46">
        <v>42.38</v>
      </c>
      <c r="H17" s="47">
        <v>22349.17</v>
      </c>
      <c r="I17" s="47">
        <v>9206234.5999999996</v>
      </c>
    </row>
    <row r="18" spans="1:9" x14ac:dyDescent="0.3">
      <c r="A18" s="46">
        <v>9</v>
      </c>
      <c r="B18" s="46" t="s">
        <v>210</v>
      </c>
      <c r="C18" s="46">
        <v>8.5</v>
      </c>
      <c r="D18" s="46">
        <v>8.5</v>
      </c>
      <c r="E18" s="46">
        <v>0</v>
      </c>
      <c r="F18" s="46">
        <v>120.02</v>
      </c>
      <c r="G18" s="46">
        <v>14.12</v>
      </c>
      <c r="H18" s="47">
        <v>10900.17</v>
      </c>
      <c r="I18" s="47">
        <v>1308.24</v>
      </c>
    </row>
    <row r="19" spans="1:9" x14ac:dyDescent="0.3">
      <c r="A19" s="46">
        <v>10</v>
      </c>
      <c r="B19" s="46" t="s">
        <v>30</v>
      </c>
      <c r="C19" s="46">
        <v>10.65</v>
      </c>
      <c r="D19" s="46">
        <v>10.65</v>
      </c>
      <c r="E19" s="46">
        <v>0</v>
      </c>
      <c r="F19" s="46">
        <v>285.67</v>
      </c>
      <c r="G19" s="46">
        <v>26.82</v>
      </c>
      <c r="H19" s="47">
        <v>28573.919999999998</v>
      </c>
      <c r="I19" s="47">
        <v>8162.71</v>
      </c>
    </row>
    <row r="20" spans="1:9" x14ac:dyDescent="0.3">
      <c r="A20" s="46">
        <v>11</v>
      </c>
      <c r="B20" s="46" t="s">
        <v>31</v>
      </c>
      <c r="C20" s="46">
        <v>10.65</v>
      </c>
      <c r="D20" s="46">
        <v>10.65</v>
      </c>
      <c r="E20" s="46">
        <v>0</v>
      </c>
      <c r="F20" s="46">
        <v>222.74</v>
      </c>
      <c r="G20" s="46">
        <v>20.91</v>
      </c>
      <c r="H20" s="47">
        <v>19455.689999999999</v>
      </c>
      <c r="I20" s="47">
        <v>4333.5600000000004</v>
      </c>
    </row>
    <row r="21" spans="1:9" ht="27.6" x14ac:dyDescent="0.3">
      <c r="A21" s="46">
        <v>12</v>
      </c>
      <c r="B21" s="46" t="s">
        <v>33</v>
      </c>
      <c r="C21" s="46">
        <v>2.5</v>
      </c>
      <c r="D21" s="46">
        <v>2.5</v>
      </c>
      <c r="E21" s="46">
        <v>0</v>
      </c>
      <c r="F21" s="46">
        <v>8.5</v>
      </c>
      <c r="G21" s="46">
        <v>3.4</v>
      </c>
      <c r="H21" s="47">
        <v>22000</v>
      </c>
      <c r="I21" s="46">
        <v>187</v>
      </c>
    </row>
    <row r="22" spans="1:9" x14ac:dyDescent="0.3">
      <c r="A22" s="46">
        <v>13</v>
      </c>
      <c r="B22" s="46" t="s">
        <v>204</v>
      </c>
      <c r="C22" s="46">
        <v>9</v>
      </c>
      <c r="D22" s="46">
        <v>9</v>
      </c>
      <c r="E22" s="46">
        <v>0</v>
      </c>
      <c r="F22" s="46">
        <v>57.06</v>
      </c>
      <c r="G22" s="46">
        <v>6.34</v>
      </c>
      <c r="H22" s="47">
        <v>18800</v>
      </c>
      <c r="I22" s="47">
        <v>1072.73</v>
      </c>
    </row>
    <row r="23" spans="1:9" x14ac:dyDescent="0.3">
      <c r="A23" s="46">
        <v>14</v>
      </c>
      <c r="B23" s="46" t="s">
        <v>35</v>
      </c>
      <c r="C23" s="46">
        <v>8</v>
      </c>
      <c r="D23" s="46">
        <v>8</v>
      </c>
      <c r="E23" s="46">
        <v>0</v>
      </c>
      <c r="F23" s="46">
        <v>363.2</v>
      </c>
      <c r="G23" s="46">
        <v>45.4</v>
      </c>
      <c r="H23" s="47">
        <v>30000</v>
      </c>
      <c r="I23" s="47">
        <v>10896</v>
      </c>
    </row>
    <row r="24" spans="1:9" x14ac:dyDescent="0.3">
      <c r="A24" s="46">
        <v>15</v>
      </c>
      <c r="B24" s="46" t="s">
        <v>36</v>
      </c>
      <c r="C24" s="46">
        <v>6.1</v>
      </c>
      <c r="D24" s="46">
        <v>6.1</v>
      </c>
      <c r="E24" s="46">
        <v>0</v>
      </c>
      <c r="F24" s="46">
        <v>60.88</v>
      </c>
      <c r="G24" s="46">
        <v>9.98</v>
      </c>
      <c r="H24" s="47">
        <v>9800</v>
      </c>
      <c r="I24" s="46">
        <v>596.62</v>
      </c>
    </row>
    <row r="25" spans="1:9" x14ac:dyDescent="0.3">
      <c r="A25" s="46">
        <v>16</v>
      </c>
      <c r="B25" s="46" t="s">
        <v>37</v>
      </c>
      <c r="C25" s="46">
        <v>18.559999999999999</v>
      </c>
      <c r="D25" s="46">
        <v>18.559999999999999</v>
      </c>
      <c r="E25" s="46">
        <v>0</v>
      </c>
      <c r="F25" s="46">
        <v>192.62</v>
      </c>
      <c r="G25" s="46">
        <v>10.38</v>
      </c>
      <c r="H25" s="47">
        <v>18077.87</v>
      </c>
      <c r="I25" s="47">
        <v>3482.16</v>
      </c>
    </row>
    <row r="26" spans="1:9" x14ac:dyDescent="0.3">
      <c r="A26" s="130" t="s">
        <v>38</v>
      </c>
      <c r="B26" s="131"/>
      <c r="C26" s="48">
        <v>15936.46</v>
      </c>
      <c r="D26" s="48">
        <v>15858.36</v>
      </c>
      <c r="E26" s="49">
        <v>0</v>
      </c>
      <c r="F26" s="48">
        <v>696112.63</v>
      </c>
      <c r="G26" s="49">
        <v>43.9</v>
      </c>
      <c r="H26" s="48">
        <v>24706.560000000001</v>
      </c>
      <c r="I26" s="48">
        <v>17198547.949999999</v>
      </c>
    </row>
  </sheetData>
  <mergeCells count="6">
    <mergeCell ref="F7:F9"/>
    <mergeCell ref="A26:B26"/>
    <mergeCell ref="A7:A9"/>
    <mergeCell ref="B7:B9"/>
    <mergeCell ref="C7:E7"/>
    <mergeCell ref="C8:E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P10" sqref="P10"/>
    </sheetView>
  </sheetViews>
  <sheetFormatPr defaultRowHeight="14.4" x14ac:dyDescent="0.3"/>
  <cols>
    <col min="3" max="4" width="11.44140625" bestFit="1" customWidth="1"/>
    <col min="5" max="6" width="10" bestFit="1" customWidth="1"/>
    <col min="9" max="9" width="12.44140625" bestFit="1" customWidth="1"/>
  </cols>
  <sheetData>
    <row r="1" spans="1:9" x14ac:dyDescent="0.3">
      <c r="A1" s="51" t="s">
        <v>0</v>
      </c>
      <c r="B1" s="50"/>
      <c r="C1" s="50"/>
      <c r="D1" s="50"/>
      <c r="E1" s="50"/>
      <c r="F1" s="50"/>
      <c r="G1" s="50"/>
      <c r="H1" s="50"/>
      <c r="I1" s="50"/>
    </row>
    <row r="2" spans="1:9" x14ac:dyDescent="0.3">
      <c r="A2" s="51" t="s">
        <v>1</v>
      </c>
      <c r="B2" s="50"/>
      <c r="C2" s="50"/>
      <c r="D2" s="50"/>
      <c r="E2" s="50"/>
      <c r="F2" s="50"/>
      <c r="G2" s="50"/>
      <c r="H2" s="50"/>
      <c r="I2" s="50"/>
    </row>
    <row r="3" spans="1:9" x14ac:dyDescent="0.3">
      <c r="A3" s="51" t="s">
        <v>2</v>
      </c>
      <c r="B3" s="50"/>
      <c r="C3" s="50"/>
      <c r="D3" s="50"/>
      <c r="E3" s="50"/>
      <c r="F3" s="50"/>
      <c r="G3" s="50"/>
      <c r="H3" s="50"/>
      <c r="I3" s="50"/>
    </row>
    <row r="4" spans="1:9" x14ac:dyDescent="0.3">
      <c r="A4" s="51" t="s">
        <v>3</v>
      </c>
      <c r="B4" s="50"/>
      <c r="C4" s="50"/>
      <c r="D4" s="50"/>
      <c r="E4" s="50"/>
      <c r="F4" s="50"/>
      <c r="G4" s="50"/>
      <c r="H4" s="50"/>
      <c r="I4" s="50"/>
    </row>
    <row r="5" spans="1:9" x14ac:dyDescent="0.3">
      <c r="A5" s="51" t="s">
        <v>219</v>
      </c>
      <c r="B5" s="50"/>
      <c r="C5" s="50"/>
      <c r="D5" s="50"/>
      <c r="E5" s="50"/>
      <c r="F5" s="50"/>
      <c r="G5" s="50"/>
      <c r="H5" s="50"/>
      <c r="I5" s="50"/>
    </row>
    <row r="7" spans="1:9" ht="27.6" x14ac:dyDescent="0.3">
      <c r="A7" s="132"/>
      <c r="B7" s="132" t="s">
        <v>5</v>
      </c>
      <c r="C7" s="135" t="s">
        <v>6</v>
      </c>
      <c r="D7" s="136"/>
      <c r="E7" s="137"/>
      <c r="F7" s="132" t="s">
        <v>8</v>
      </c>
      <c r="G7" s="52" t="s">
        <v>9</v>
      </c>
      <c r="H7" s="52" t="s">
        <v>11</v>
      </c>
      <c r="I7" s="52" t="s">
        <v>13</v>
      </c>
    </row>
    <row r="8" spans="1:9" ht="27.6" x14ac:dyDescent="0.3">
      <c r="A8" s="133"/>
      <c r="B8" s="133"/>
      <c r="C8" s="138" t="s">
        <v>7</v>
      </c>
      <c r="D8" s="139"/>
      <c r="E8" s="140"/>
      <c r="F8" s="133"/>
      <c r="G8" s="53" t="s">
        <v>10</v>
      </c>
      <c r="H8" s="53" t="s">
        <v>12</v>
      </c>
      <c r="I8" s="53" t="s">
        <v>14</v>
      </c>
    </row>
    <row r="9" spans="1:9" x14ac:dyDescent="0.3">
      <c r="A9" s="134"/>
      <c r="B9" s="134"/>
      <c r="C9" s="55" t="s">
        <v>15</v>
      </c>
      <c r="D9" s="55" t="s">
        <v>16</v>
      </c>
      <c r="E9" s="55" t="s">
        <v>17</v>
      </c>
      <c r="F9" s="134"/>
      <c r="G9" s="54"/>
      <c r="H9" s="54"/>
      <c r="I9" s="54"/>
    </row>
    <row r="10" spans="1:9" ht="27.6" x14ac:dyDescent="0.3">
      <c r="A10" s="56">
        <v>1</v>
      </c>
      <c r="B10" s="56" t="s">
        <v>18</v>
      </c>
      <c r="C10" s="57">
        <v>1082.8</v>
      </c>
      <c r="D10" s="57">
        <v>1082.8</v>
      </c>
      <c r="E10" s="56">
        <v>0</v>
      </c>
      <c r="F10" s="57">
        <v>1371.25</v>
      </c>
      <c r="G10" s="56">
        <v>1.27</v>
      </c>
      <c r="H10" s="57">
        <v>9874.82</v>
      </c>
      <c r="I10" s="57">
        <v>13540.85</v>
      </c>
    </row>
    <row r="11" spans="1:9" ht="41.4" x14ac:dyDescent="0.3">
      <c r="A11" s="56">
        <v>2</v>
      </c>
      <c r="B11" s="56" t="s">
        <v>20</v>
      </c>
      <c r="C11" s="56">
        <v>873</v>
      </c>
      <c r="D11" s="56">
        <v>873</v>
      </c>
      <c r="E11" s="56">
        <v>0</v>
      </c>
      <c r="F11" s="57">
        <v>1290.8499999999999</v>
      </c>
      <c r="G11" s="56">
        <v>1.48</v>
      </c>
      <c r="H11" s="57">
        <v>13836.54</v>
      </c>
      <c r="I11" s="57">
        <v>17860.900000000001</v>
      </c>
    </row>
    <row r="12" spans="1:9" ht="27.6" x14ac:dyDescent="0.3">
      <c r="A12" s="56">
        <v>3</v>
      </c>
      <c r="B12" s="56" t="s">
        <v>206</v>
      </c>
      <c r="C12" s="57">
        <v>1334</v>
      </c>
      <c r="D12" s="57">
        <v>1334</v>
      </c>
      <c r="E12" s="56">
        <v>0</v>
      </c>
      <c r="F12" s="56">
        <v>845.35</v>
      </c>
      <c r="G12" s="56">
        <v>0.63</v>
      </c>
      <c r="H12" s="57">
        <v>23586.04</v>
      </c>
      <c r="I12" s="57">
        <v>19938.46</v>
      </c>
    </row>
    <row r="13" spans="1:9" x14ac:dyDescent="0.3">
      <c r="A13" s="56">
        <v>4</v>
      </c>
      <c r="B13" s="56" t="s">
        <v>21</v>
      </c>
      <c r="C13" s="56">
        <v>198.7</v>
      </c>
      <c r="D13" s="56">
        <v>179.7</v>
      </c>
      <c r="E13" s="56">
        <v>19</v>
      </c>
      <c r="F13" s="56">
        <v>129.1</v>
      </c>
      <c r="G13" s="56">
        <v>0.72</v>
      </c>
      <c r="H13" s="57">
        <v>11760.79</v>
      </c>
      <c r="I13" s="57">
        <v>1518.32</v>
      </c>
    </row>
    <row r="14" spans="1:9" x14ac:dyDescent="0.3">
      <c r="A14" s="56">
        <v>5</v>
      </c>
      <c r="B14" s="56" t="s">
        <v>202</v>
      </c>
      <c r="C14" s="56">
        <v>5.25</v>
      </c>
      <c r="D14" s="56">
        <v>5.25</v>
      </c>
      <c r="E14" s="56">
        <v>0</v>
      </c>
      <c r="F14" s="56">
        <v>6.93</v>
      </c>
      <c r="G14" s="56">
        <v>1.32</v>
      </c>
      <c r="H14" s="57">
        <v>11354</v>
      </c>
      <c r="I14" s="56">
        <v>78.680000000000007</v>
      </c>
    </row>
    <row r="15" spans="1:9" x14ac:dyDescent="0.3">
      <c r="A15" s="56">
        <v>6</v>
      </c>
      <c r="B15" s="56" t="s">
        <v>203</v>
      </c>
      <c r="C15" s="57">
        <v>114207.9</v>
      </c>
      <c r="D15" s="57">
        <v>114207.9</v>
      </c>
      <c r="E15" s="56">
        <v>0</v>
      </c>
      <c r="F15" s="57">
        <v>69711.88</v>
      </c>
      <c r="G15" s="56">
        <v>0.61</v>
      </c>
      <c r="H15" s="57">
        <v>14702.65</v>
      </c>
      <c r="I15" s="57">
        <v>1024949.63</v>
      </c>
    </row>
    <row r="16" spans="1:9" ht="27.6" x14ac:dyDescent="0.3">
      <c r="A16" s="56">
        <v>7</v>
      </c>
      <c r="B16" s="56" t="s">
        <v>22</v>
      </c>
      <c r="C16" s="57">
        <v>67389.5</v>
      </c>
      <c r="D16" s="57">
        <v>47798.5</v>
      </c>
      <c r="E16" s="57">
        <v>19591</v>
      </c>
      <c r="F16" s="57">
        <v>34884.54</v>
      </c>
      <c r="G16" s="56">
        <v>0.73</v>
      </c>
      <c r="H16" s="57">
        <v>21321.95</v>
      </c>
      <c r="I16" s="57">
        <v>743806.52</v>
      </c>
    </row>
    <row r="17" spans="1:9" ht="27.6" x14ac:dyDescent="0.3">
      <c r="A17" s="56">
        <v>8</v>
      </c>
      <c r="B17" s="56" t="s">
        <v>207</v>
      </c>
      <c r="C17" s="56">
        <v>38.4</v>
      </c>
      <c r="D17" s="56">
        <v>38.4</v>
      </c>
      <c r="E17" s="56">
        <v>0</v>
      </c>
      <c r="F17" s="56">
        <v>32.68</v>
      </c>
      <c r="G17" s="56">
        <v>0.85</v>
      </c>
      <c r="H17" s="57">
        <v>26198.71</v>
      </c>
      <c r="I17" s="56">
        <v>856.17</v>
      </c>
    </row>
    <row r="18" spans="1:9" x14ac:dyDescent="0.3">
      <c r="A18" s="56">
        <v>9</v>
      </c>
      <c r="B18" s="56" t="s">
        <v>208</v>
      </c>
      <c r="C18" s="57">
        <v>218193.9</v>
      </c>
      <c r="D18" s="57">
        <v>135854.46</v>
      </c>
      <c r="E18" s="57">
        <v>82339.44</v>
      </c>
      <c r="F18" s="57">
        <v>58574.82</v>
      </c>
      <c r="G18" s="56">
        <v>0.43</v>
      </c>
      <c r="H18" s="57">
        <v>26911.86</v>
      </c>
      <c r="I18" s="57">
        <v>1576357.48</v>
      </c>
    </row>
    <row r="19" spans="1:9" ht="27.6" x14ac:dyDescent="0.3">
      <c r="A19" s="56">
        <v>10</v>
      </c>
      <c r="B19" s="56" t="s">
        <v>23</v>
      </c>
      <c r="C19" s="57">
        <v>47191</v>
      </c>
      <c r="D19" s="57">
        <v>47186</v>
      </c>
      <c r="E19" s="56">
        <v>5</v>
      </c>
      <c r="F19" s="57">
        <v>40347.019999999997</v>
      </c>
      <c r="G19" s="56">
        <v>0.86</v>
      </c>
      <c r="H19" s="57">
        <v>16468.5</v>
      </c>
      <c r="I19" s="57">
        <v>664455.05000000005</v>
      </c>
    </row>
    <row r="20" spans="1:9" x14ac:dyDescent="0.3">
      <c r="A20" s="56">
        <v>11</v>
      </c>
      <c r="B20" s="56" t="s">
        <v>24</v>
      </c>
      <c r="C20" s="57">
        <v>18366.77</v>
      </c>
      <c r="D20" s="57">
        <v>18366.77</v>
      </c>
      <c r="E20" s="56">
        <v>0</v>
      </c>
      <c r="F20" s="57">
        <v>15032.33</v>
      </c>
      <c r="G20" s="56">
        <v>0.82</v>
      </c>
      <c r="H20" s="57">
        <v>13831.52</v>
      </c>
      <c r="I20" s="57">
        <v>207919.96</v>
      </c>
    </row>
    <row r="21" spans="1:9" x14ac:dyDescent="0.3">
      <c r="A21" s="56">
        <v>12</v>
      </c>
      <c r="B21" s="56" t="s">
        <v>25</v>
      </c>
      <c r="C21" s="57">
        <v>17683.990000000002</v>
      </c>
      <c r="D21" s="57">
        <v>17678.59</v>
      </c>
      <c r="E21" s="56">
        <v>5.4</v>
      </c>
      <c r="F21" s="57">
        <v>15072.2</v>
      </c>
      <c r="G21" s="56">
        <v>0.85</v>
      </c>
      <c r="H21" s="57">
        <v>14213.19</v>
      </c>
      <c r="I21" s="57">
        <v>214223.99</v>
      </c>
    </row>
    <row r="22" spans="1:9" x14ac:dyDescent="0.3">
      <c r="A22" s="56">
        <v>13</v>
      </c>
      <c r="B22" s="56" t="s">
        <v>26</v>
      </c>
      <c r="C22" s="57">
        <v>9956.15</v>
      </c>
      <c r="D22" s="57">
        <v>9956.15</v>
      </c>
      <c r="E22" s="56">
        <v>0</v>
      </c>
      <c r="F22" s="57">
        <v>8791.2900000000009</v>
      </c>
      <c r="G22" s="56">
        <v>0.88</v>
      </c>
      <c r="H22" s="57">
        <v>18765.5</v>
      </c>
      <c r="I22" s="57">
        <v>164972.94</v>
      </c>
    </row>
    <row r="23" spans="1:9" x14ac:dyDescent="0.3">
      <c r="A23" s="56">
        <v>14</v>
      </c>
      <c r="B23" s="56" t="s">
        <v>209</v>
      </c>
      <c r="C23" s="57">
        <v>2576.64</v>
      </c>
      <c r="D23" s="57">
        <v>2576.64</v>
      </c>
      <c r="E23" s="56">
        <v>0</v>
      </c>
      <c r="F23" s="57">
        <v>2752.34</v>
      </c>
      <c r="G23" s="56">
        <v>1.07</v>
      </c>
      <c r="H23" s="57">
        <v>14053.45</v>
      </c>
      <c r="I23" s="57">
        <v>38679.870000000003</v>
      </c>
    </row>
    <row r="24" spans="1:9" ht="27.6" x14ac:dyDescent="0.3">
      <c r="A24" s="56">
        <v>15</v>
      </c>
      <c r="B24" s="56" t="s">
        <v>27</v>
      </c>
      <c r="C24" s="57">
        <v>3166</v>
      </c>
      <c r="D24" s="57">
        <v>3166</v>
      </c>
      <c r="E24" s="56">
        <v>0</v>
      </c>
      <c r="F24" s="57">
        <v>4116.99</v>
      </c>
      <c r="G24" s="56">
        <v>1.3</v>
      </c>
      <c r="H24" s="57">
        <v>12877.42</v>
      </c>
      <c r="I24" s="57">
        <v>53016.22</v>
      </c>
    </row>
    <row r="25" spans="1:9" x14ac:dyDescent="0.3">
      <c r="A25" s="56">
        <v>16</v>
      </c>
      <c r="B25" s="56" t="s">
        <v>210</v>
      </c>
      <c r="C25" s="56">
        <v>373.8</v>
      </c>
      <c r="D25" s="56">
        <v>373.8</v>
      </c>
      <c r="E25" s="56">
        <v>0</v>
      </c>
      <c r="F25" s="56">
        <v>633.16999999999996</v>
      </c>
      <c r="G25" s="56">
        <v>1.69</v>
      </c>
      <c r="H25" s="57">
        <v>13307.65</v>
      </c>
      <c r="I25" s="57">
        <v>8426</v>
      </c>
    </row>
    <row r="26" spans="1:9" x14ac:dyDescent="0.3">
      <c r="A26" s="56">
        <v>17</v>
      </c>
      <c r="B26" s="56" t="s">
        <v>28</v>
      </c>
      <c r="C26" s="57">
        <v>64109.26</v>
      </c>
      <c r="D26" s="57">
        <v>62814.26</v>
      </c>
      <c r="E26" s="57">
        <v>1295</v>
      </c>
      <c r="F26" s="57">
        <v>70050.600000000006</v>
      </c>
      <c r="G26" s="56">
        <v>1.1200000000000001</v>
      </c>
      <c r="H26" s="57">
        <v>22177.8</v>
      </c>
      <c r="I26" s="57">
        <v>1553568.2</v>
      </c>
    </row>
    <row r="27" spans="1:9" ht="27.6" x14ac:dyDescent="0.3">
      <c r="A27" s="56">
        <v>18</v>
      </c>
      <c r="B27" s="56" t="s">
        <v>29</v>
      </c>
      <c r="C27" s="56">
        <v>373</v>
      </c>
      <c r="D27" s="56">
        <v>364</v>
      </c>
      <c r="E27" s="56">
        <v>9</v>
      </c>
      <c r="F27" s="56">
        <v>274.85000000000002</v>
      </c>
      <c r="G27" s="56">
        <v>0.76</v>
      </c>
      <c r="H27" s="57">
        <v>15785.39</v>
      </c>
      <c r="I27" s="57">
        <v>4338.6099999999997</v>
      </c>
    </row>
    <row r="28" spans="1:9" x14ac:dyDescent="0.3">
      <c r="A28" s="56">
        <v>19</v>
      </c>
      <c r="B28" s="56" t="s">
        <v>30</v>
      </c>
      <c r="C28" s="57">
        <v>32758.07</v>
      </c>
      <c r="D28" s="57">
        <v>32293.82</v>
      </c>
      <c r="E28" s="56">
        <v>464.25</v>
      </c>
      <c r="F28" s="57">
        <v>24785.45</v>
      </c>
      <c r="G28" s="56">
        <v>0.77</v>
      </c>
      <c r="H28" s="57">
        <v>14520.8</v>
      </c>
      <c r="I28" s="57">
        <v>359904.67</v>
      </c>
    </row>
    <row r="29" spans="1:9" x14ac:dyDescent="0.3">
      <c r="A29" s="56">
        <v>20</v>
      </c>
      <c r="B29" s="56" t="s">
        <v>31</v>
      </c>
      <c r="C29" s="57">
        <v>43213.52</v>
      </c>
      <c r="D29" s="57">
        <v>43213.52</v>
      </c>
      <c r="E29" s="56">
        <v>0</v>
      </c>
      <c r="F29" s="57">
        <v>37907.339999999997</v>
      </c>
      <c r="G29" s="56">
        <v>0.88</v>
      </c>
      <c r="H29" s="57">
        <v>15540.16</v>
      </c>
      <c r="I29" s="57">
        <v>589086.01</v>
      </c>
    </row>
    <row r="30" spans="1:9" x14ac:dyDescent="0.3">
      <c r="A30" s="56">
        <v>21</v>
      </c>
      <c r="B30" s="56" t="s">
        <v>32</v>
      </c>
      <c r="C30" s="57">
        <v>3533.64</v>
      </c>
      <c r="D30" s="57">
        <v>2219.64</v>
      </c>
      <c r="E30" s="57">
        <v>1314</v>
      </c>
      <c r="F30" s="57">
        <v>2159.3000000000002</v>
      </c>
      <c r="G30" s="56">
        <v>0.97</v>
      </c>
      <c r="H30" s="57">
        <v>15547.4</v>
      </c>
      <c r="I30" s="57">
        <v>33571.5</v>
      </c>
    </row>
    <row r="31" spans="1:9" ht="27.6" x14ac:dyDescent="0.3">
      <c r="A31" s="56">
        <v>22</v>
      </c>
      <c r="B31" s="56" t="s">
        <v>211</v>
      </c>
      <c r="C31" s="57">
        <v>6940</v>
      </c>
      <c r="D31" s="57">
        <v>6940</v>
      </c>
      <c r="E31" s="56">
        <v>0</v>
      </c>
      <c r="F31" s="57">
        <v>6245.66</v>
      </c>
      <c r="G31" s="56">
        <v>0.9</v>
      </c>
      <c r="H31" s="57">
        <v>24874.38</v>
      </c>
      <c r="I31" s="57">
        <v>155356.91</v>
      </c>
    </row>
    <row r="32" spans="1:9" ht="27.6" x14ac:dyDescent="0.3">
      <c r="A32" s="56">
        <v>23</v>
      </c>
      <c r="B32" s="56" t="s">
        <v>33</v>
      </c>
      <c r="C32" s="57">
        <v>74455.570000000007</v>
      </c>
      <c r="D32" s="57">
        <v>63722.57</v>
      </c>
      <c r="E32" s="57">
        <v>10733</v>
      </c>
      <c r="F32" s="57">
        <v>38466.82</v>
      </c>
      <c r="G32" s="56">
        <v>0.6</v>
      </c>
      <c r="H32" s="57">
        <v>20671.89</v>
      </c>
      <c r="I32" s="57">
        <v>795182.03</v>
      </c>
    </row>
    <row r="33" spans="1:9" x14ac:dyDescent="0.3">
      <c r="A33" s="56">
        <v>24</v>
      </c>
      <c r="B33" s="56" t="s">
        <v>204</v>
      </c>
      <c r="C33" s="57">
        <v>93818.02</v>
      </c>
      <c r="D33" s="57">
        <v>87615.02</v>
      </c>
      <c r="E33" s="57">
        <v>6203</v>
      </c>
      <c r="F33" s="57">
        <v>172238.91</v>
      </c>
      <c r="G33" s="56">
        <v>1.97</v>
      </c>
      <c r="H33" s="57">
        <v>23139.37</v>
      </c>
      <c r="I33" s="57">
        <v>3985499.54</v>
      </c>
    </row>
    <row r="34" spans="1:9" x14ac:dyDescent="0.3">
      <c r="A34" s="56">
        <v>25</v>
      </c>
      <c r="B34" s="56" t="s">
        <v>34</v>
      </c>
      <c r="C34" s="57">
        <v>5620</v>
      </c>
      <c r="D34" s="57">
        <v>5433</v>
      </c>
      <c r="E34" s="56">
        <v>187</v>
      </c>
      <c r="F34" s="57">
        <v>12039.29</v>
      </c>
      <c r="G34" s="56">
        <v>2.2200000000000002</v>
      </c>
      <c r="H34" s="57">
        <v>19384.810000000001</v>
      </c>
      <c r="I34" s="57">
        <v>233379.29</v>
      </c>
    </row>
    <row r="35" spans="1:9" x14ac:dyDescent="0.3">
      <c r="A35" s="56">
        <v>26</v>
      </c>
      <c r="B35" s="56" t="s">
        <v>212</v>
      </c>
      <c r="C35" s="57">
        <v>3119</v>
      </c>
      <c r="D35" s="57">
        <v>3119</v>
      </c>
      <c r="E35" s="56">
        <v>0</v>
      </c>
      <c r="F35" s="57">
        <v>1989.81</v>
      </c>
      <c r="G35" s="56">
        <v>0.64</v>
      </c>
      <c r="H35" s="57">
        <v>18203.72</v>
      </c>
      <c r="I35" s="57">
        <v>36221.94</v>
      </c>
    </row>
    <row r="36" spans="1:9" ht="27.6" x14ac:dyDescent="0.3">
      <c r="A36" s="56">
        <v>27</v>
      </c>
      <c r="B36" s="56" t="s">
        <v>213</v>
      </c>
      <c r="C36" s="57">
        <v>3699.9</v>
      </c>
      <c r="D36" s="57">
        <v>3374.9</v>
      </c>
      <c r="E36" s="56">
        <v>325</v>
      </c>
      <c r="F36" s="57">
        <v>2646.56</v>
      </c>
      <c r="G36" s="56">
        <v>0.78</v>
      </c>
      <c r="H36" s="57">
        <v>20710.78</v>
      </c>
      <c r="I36" s="57">
        <v>54812.32</v>
      </c>
    </row>
    <row r="37" spans="1:9" x14ac:dyDescent="0.3">
      <c r="A37" s="56">
        <v>28</v>
      </c>
      <c r="B37" s="56" t="s">
        <v>35</v>
      </c>
      <c r="C37" s="57">
        <v>2101</v>
      </c>
      <c r="D37" s="57">
        <v>2101</v>
      </c>
      <c r="E37" s="56">
        <v>0</v>
      </c>
      <c r="F37" s="57">
        <v>2060.6</v>
      </c>
      <c r="G37" s="56">
        <v>0.98</v>
      </c>
      <c r="H37" s="57">
        <v>12308.96</v>
      </c>
      <c r="I37" s="57">
        <v>25363.84</v>
      </c>
    </row>
    <row r="38" spans="1:9" x14ac:dyDescent="0.3">
      <c r="A38" s="56">
        <v>29</v>
      </c>
      <c r="B38" s="56" t="s">
        <v>36</v>
      </c>
      <c r="C38" s="57">
        <v>36086.339999999997</v>
      </c>
      <c r="D38" s="57">
        <v>36086.339999999997</v>
      </c>
      <c r="E38" s="56">
        <v>0</v>
      </c>
      <c r="F38" s="57">
        <v>29350.01</v>
      </c>
      <c r="G38" s="56">
        <v>0.81</v>
      </c>
      <c r="H38" s="57">
        <v>15296.88</v>
      </c>
      <c r="I38" s="57">
        <v>448963.44</v>
      </c>
    </row>
    <row r="39" spans="1:9" x14ac:dyDescent="0.3">
      <c r="A39" s="56">
        <v>30</v>
      </c>
      <c r="B39" s="56" t="s">
        <v>214</v>
      </c>
      <c r="C39" s="56">
        <v>398.5</v>
      </c>
      <c r="D39" s="56">
        <v>398.5</v>
      </c>
      <c r="E39" s="56">
        <v>0</v>
      </c>
      <c r="F39" s="56">
        <v>132.66999999999999</v>
      </c>
      <c r="G39" s="56">
        <v>0.33</v>
      </c>
      <c r="H39" s="57">
        <v>9788.76</v>
      </c>
      <c r="I39" s="57">
        <v>1298.67</v>
      </c>
    </row>
    <row r="40" spans="1:9" x14ac:dyDescent="0.3">
      <c r="A40" s="56">
        <v>31</v>
      </c>
      <c r="B40" s="56" t="s">
        <v>37</v>
      </c>
      <c r="C40" s="57">
        <v>630665.37</v>
      </c>
      <c r="D40" s="57">
        <v>615299.92000000004</v>
      </c>
      <c r="E40" s="57">
        <v>15365.45</v>
      </c>
      <c r="F40" s="57">
        <v>342452.16</v>
      </c>
      <c r="G40" s="56">
        <v>0.56000000000000005</v>
      </c>
      <c r="H40" s="57">
        <v>18703.59</v>
      </c>
      <c r="I40" s="57">
        <v>6405084.5199999996</v>
      </c>
    </row>
    <row r="41" spans="1:9" x14ac:dyDescent="0.3">
      <c r="A41" s="130" t="s">
        <v>38</v>
      </c>
      <c r="B41" s="131"/>
      <c r="C41" s="58">
        <v>1503528.99</v>
      </c>
      <c r="D41" s="58">
        <v>1365673.45</v>
      </c>
      <c r="E41" s="58">
        <v>137855.54</v>
      </c>
      <c r="F41" s="58">
        <v>996392.77</v>
      </c>
      <c r="G41" s="59">
        <v>0.73</v>
      </c>
      <c r="H41" s="58">
        <v>19502.580000000002</v>
      </c>
      <c r="I41" s="58">
        <v>19432232.52</v>
      </c>
    </row>
  </sheetData>
  <mergeCells count="6">
    <mergeCell ref="F7:F9"/>
    <mergeCell ref="A41:B41"/>
    <mergeCell ref="A7:A9"/>
    <mergeCell ref="B7:B9"/>
    <mergeCell ref="C7:E7"/>
    <mergeCell ref="C8:E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>
      <selection activeCell="L30" sqref="L30"/>
    </sheetView>
  </sheetViews>
  <sheetFormatPr defaultRowHeight="14.4" x14ac:dyDescent="0.3"/>
  <cols>
    <col min="5" max="5" width="8.77734375" bestFit="1" customWidth="1"/>
    <col min="6" max="6" width="11.44140625" bestFit="1" customWidth="1"/>
    <col min="9" max="9" width="11.44140625" bestFit="1" customWidth="1"/>
  </cols>
  <sheetData>
    <row r="1" spans="1:9" x14ac:dyDescent="0.3">
      <c r="A1" s="61" t="s">
        <v>0</v>
      </c>
      <c r="B1" s="60"/>
      <c r="C1" s="60"/>
      <c r="D1" s="60"/>
      <c r="E1" s="60"/>
      <c r="F1" s="60"/>
      <c r="G1" s="60"/>
      <c r="H1" s="60"/>
      <c r="I1" s="60"/>
    </row>
    <row r="2" spans="1:9" x14ac:dyDescent="0.3">
      <c r="A2" s="61" t="s">
        <v>1</v>
      </c>
      <c r="B2" s="60"/>
      <c r="C2" s="60"/>
      <c r="D2" s="60"/>
      <c r="E2" s="60"/>
      <c r="F2" s="60"/>
      <c r="G2" s="60"/>
      <c r="H2" s="60"/>
      <c r="I2" s="60"/>
    </row>
    <row r="3" spans="1:9" x14ac:dyDescent="0.3">
      <c r="A3" s="61" t="s">
        <v>2</v>
      </c>
      <c r="B3" s="60"/>
      <c r="C3" s="60"/>
      <c r="D3" s="60"/>
      <c r="E3" s="60"/>
      <c r="F3" s="60"/>
      <c r="G3" s="60"/>
      <c r="H3" s="60"/>
      <c r="I3" s="60"/>
    </row>
    <row r="4" spans="1:9" x14ac:dyDescent="0.3">
      <c r="A4" s="61" t="s">
        <v>3</v>
      </c>
      <c r="B4" s="60"/>
      <c r="C4" s="60"/>
      <c r="D4" s="60"/>
      <c r="E4" s="60"/>
      <c r="F4" s="60"/>
      <c r="G4" s="60"/>
      <c r="H4" s="60"/>
      <c r="I4" s="60"/>
    </row>
    <row r="5" spans="1:9" x14ac:dyDescent="0.3">
      <c r="A5" s="61" t="s">
        <v>220</v>
      </c>
      <c r="B5" s="60"/>
      <c r="C5" s="60"/>
      <c r="D5" s="60"/>
      <c r="E5" s="60"/>
      <c r="F5" s="60"/>
      <c r="G5" s="60"/>
      <c r="H5" s="60"/>
      <c r="I5" s="60"/>
    </row>
    <row r="7" spans="1:9" ht="27.6" x14ac:dyDescent="0.3">
      <c r="A7" s="132"/>
      <c r="B7" s="132" t="s">
        <v>5</v>
      </c>
      <c r="C7" s="135" t="s">
        <v>6</v>
      </c>
      <c r="D7" s="136"/>
      <c r="E7" s="137"/>
      <c r="F7" s="132" t="s">
        <v>8</v>
      </c>
      <c r="G7" s="62" t="s">
        <v>9</v>
      </c>
      <c r="H7" s="62" t="s">
        <v>11</v>
      </c>
      <c r="I7" s="62" t="s">
        <v>13</v>
      </c>
    </row>
    <row r="8" spans="1:9" ht="27.6" x14ac:dyDescent="0.3">
      <c r="A8" s="133"/>
      <c r="B8" s="133"/>
      <c r="C8" s="138" t="s">
        <v>7</v>
      </c>
      <c r="D8" s="139"/>
      <c r="E8" s="140"/>
      <c r="F8" s="133"/>
      <c r="G8" s="63" t="s">
        <v>10</v>
      </c>
      <c r="H8" s="63" t="s">
        <v>12</v>
      </c>
      <c r="I8" s="63" t="s">
        <v>14</v>
      </c>
    </row>
    <row r="9" spans="1:9" ht="27.6" x14ac:dyDescent="0.3">
      <c r="A9" s="134"/>
      <c r="B9" s="134"/>
      <c r="C9" s="65" t="s">
        <v>15</v>
      </c>
      <c r="D9" s="65" t="s">
        <v>16</v>
      </c>
      <c r="E9" s="65" t="s">
        <v>17</v>
      </c>
      <c r="F9" s="134"/>
      <c r="G9" s="64"/>
      <c r="H9" s="64"/>
      <c r="I9" s="64"/>
    </row>
    <row r="10" spans="1:9" ht="27.6" x14ac:dyDescent="0.3">
      <c r="A10" s="66">
        <v>1</v>
      </c>
      <c r="B10" s="66" t="s">
        <v>18</v>
      </c>
      <c r="C10" s="67">
        <v>1860</v>
      </c>
      <c r="D10" s="67">
        <v>1860</v>
      </c>
      <c r="E10" s="66">
        <v>0</v>
      </c>
      <c r="F10" s="67">
        <v>41162</v>
      </c>
      <c r="G10" s="66">
        <v>22.13</v>
      </c>
      <c r="H10" s="67">
        <v>3017.94</v>
      </c>
      <c r="I10" s="67">
        <v>124224.26</v>
      </c>
    </row>
    <row r="11" spans="1:9" ht="27.6" x14ac:dyDescent="0.3">
      <c r="A11" s="66">
        <v>2</v>
      </c>
      <c r="B11" s="66" t="s">
        <v>19</v>
      </c>
      <c r="C11" s="66">
        <v>186</v>
      </c>
      <c r="D11" s="66">
        <v>186</v>
      </c>
      <c r="E11" s="66">
        <v>0</v>
      </c>
      <c r="F11" s="67">
        <v>2137.5</v>
      </c>
      <c r="G11" s="66">
        <v>11.49</v>
      </c>
      <c r="H11" s="67">
        <v>4079.88</v>
      </c>
      <c r="I11" s="67">
        <v>8720.74</v>
      </c>
    </row>
    <row r="12" spans="1:9" x14ac:dyDescent="0.3">
      <c r="A12" s="66">
        <v>3</v>
      </c>
      <c r="B12" s="66" t="s">
        <v>21</v>
      </c>
      <c r="C12" s="66">
        <v>5</v>
      </c>
      <c r="D12" s="66">
        <v>5</v>
      </c>
      <c r="E12" s="66">
        <v>0</v>
      </c>
      <c r="F12" s="66">
        <v>50</v>
      </c>
      <c r="G12" s="66">
        <v>10</v>
      </c>
      <c r="H12" s="67">
        <v>5500</v>
      </c>
      <c r="I12" s="66">
        <v>275</v>
      </c>
    </row>
    <row r="13" spans="1:9" x14ac:dyDescent="0.3">
      <c r="A13" s="66">
        <v>4</v>
      </c>
      <c r="B13" s="66" t="s">
        <v>202</v>
      </c>
      <c r="C13" s="67">
        <v>3484.5</v>
      </c>
      <c r="D13" s="67">
        <v>3484.5</v>
      </c>
      <c r="E13" s="66">
        <v>0</v>
      </c>
      <c r="F13" s="67">
        <v>54058.93</v>
      </c>
      <c r="G13" s="66">
        <v>15.51</v>
      </c>
      <c r="H13" s="67">
        <v>3394.24</v>
      </c>
      <c r="I13" s="67">
        <v>183489.09</v>
      </c>
    </row>
    <row r="14" spans="1:9" x14ac:dyDescent="0.3">
      <c r="A14" s="66">
        <v>5</v>
      </c>
      <c r="B14" s="66" t="s">
        <v>203</v>
      </c>
      <c r="C14" s="66">
        <v>771</v>
      </c>
      <c r="D14" s="66">
        <v>771</v>
      </c>
      <c r="E14" s="66">
        <v>0</v>
      </c>
      <c r="F14" s="67">
        <v>15027.55</v>
      </c>
      <c r="G14" s="66">
        <v>19.489999999999998</v>
      </c>
      <c r="H14" s="67">
        <v>1688.37</v>
      </c>
      <c r="I14" s="67">
        <v>25372.12</v>
      </c>
    </row>
    <row r="15" spans="1:9" ht="27.6" x14ac:dyDescent="0.3">
      <c r="A15" s="66">
        <v>6</v>
      </c>
      <c r="B15" s="66" t="s">
        <v>22</v>
      </c>
      <c r="C15" s="66">
        <v>139</v>
      </c>
      <c r="D15" s="66">
        <v>139</v>
      </c>
      <c r="E15" s="66">
        <v>0</v>
      </c>
      <c r="F15" s="67">
        <v>3146.5</v>
      </c>
      <c r="G15" s="66">
        <v>22.64</v>
      </c>
      <c r="H15" s="67">
        <v>6001.97</v>
      </c>
      <c r="I15" s="67">
        <v>18885.189999999999</v>
      </c>
    </row>
    <row r="16" spans="1:9" ht="27.6" x14ac:dyDescent="0.3">
      <c r="A16" s="66">
        <v>7</v>
      </c>
      <c r="B16" s="66" t="s">
        <v>207</v>
      </c>
      <c r="C16" s="67">
        <v>1002</v>
      </c>
      <c r="D16" s="67">
        <v>1002</v>
      </c>
      <c r="E16" s="66">
        <v>0</v>
      </c>
      <c r="F16" s="67">
        <v>7881</v>
      </c>
      <c r="G16" s="66">
        <v>7.87</v>
      </c>
      <c r="H16" s="67">
        <v>11012.75</v>
      </c>
      <c r="I16" s="67">
        <v>86791.52</v>
      </c>
    </row>
    <row r="17" spans="1:9" x14ac:dyDescent="0.3">
      <c r="A17" s="66">
        <v>8</v>
      </c>
      <c r="B17" s="66" t="s">
        <v>208</v>
      </c>
      <c r="C17" s="66">
        <v>111</v>
      </c>
      <c r="D17" s="66">
        <v>111</v>
      </c>
      <c r="E17" s="66">
        <v>0</v>
      </c>
      <c r="F17" s="67">
        <v>1583.57</v>
      </c>
      <c r="G17" s="66">
        <v>14.27</v>
      </c>
      <c r="H17" s="67">
        <v>3484.71</v>
      </c>
      <c r="I17" s="67">
        <v>5518.29</v>
      </c>
    </row>
    <row r="18" spans="1:9" ht="27.6" x14ac:dyDescent="0.3">
      <c r="A18" s="66">
        <v>9</v>
      </c>
      <c r="B18" s="66" t="s">
        <v>23</v>
      </c>
      <c r="C18" s="67">
        <v>1962</v>
      </c>
      <c r="D18" s="67">
        <v>1962</v>
      </c>
      <c r="E18" s="66">
        <v>0</v>
      </c>
      <c r="F18" s="67">
        <v>45276.800000000003</v>
      </c>
      <c r="G18" s="66">
        <v>23.08</v>
      </c>
      <c r="H18" s="67">
        <v>2913.18</v>
      </c>
      <c r="I18" s="67">
        <v>131899.26</v>
      </c>
    </row>
    <row r="19" spans="1:9" x14ac:dyDescent="0.3">
      <c r="A19" s="66">
        <v>10</v>
      </c>
      <c r="B19" s="66" t="s">
        <v>24</v>
      </c>
      <c r="C19" s="66">
        <v>337.91</v>
      </c>
      <c r="D19" s="66">
        <v>337.91</v>
      </c>
      <c r="E19" s="66">
        <v>0</v>
      </c>
      <c r="F19" s="67">
        <v>6767.37</v>
      </c>
      <c r="G19" s="66">
        <v>20.03</v>
      </c>
      <c r="H19" s="67">
        <v>3262.76</v>
      </c>
      <c r="I19" s="67">
        <v>22080.31</v>
      </c>
    </row>
    <row r="20" spans="1:9" x14ac:dyDescent="0.3">
      <c r="A20" s="66">
        <v>11</v>
      </c>
      <c r="B20" s="66" t="s">
        <v>25</v>
      </c>
      <c r="C20" s="67">
        <v>1578</v>
      </c>
      <c r="D20" s="67">
        <v>1578</v>
      </c>
      <c r="E20" s="66">
        <v>0</v>
      </c>
      <c r="F20" s="67">
        <v>18356.439999999999</v>
      </c>
      <c r="G20" s="66">
        <v>11.63</v>
      </c>
      <c r="H20" s="67">
        <v>3038.3</v>
      </c>
      <c r="I20" s="67">
        <v>55772.43</v>
      </c>
    </row>
    <row r="21" spans="1:9" x14ac:dyDescent="0.3">
      <c r="A21" s="66">
        <v>12</v>
      </c>
      <c r="B21" s="66" t="s">
        <v>26</v>
      </c>
      <c r="C21" s="67">
        <v>5707.33</v>
      </c>
      <c r="D21" s="67">
        <v>5707.33</v>
      </c>
      <c r="E21" s="66">
        <v>0</v>
      </c>
      <c r="F21" s="67">
        <v>120386.4</v>
      </c>
      <c r="G21" s="66">
        <v>21.09</v>
      </c>
      <c r="H21" s="67">
        <v>3685.36</v>
      </c>
      <c r="I21" s="67">
        <v>443667.71</v>
      </c>
    </row>
    <row r="22" spans="1:9" x14ac:dyDescent="0.3">
      <c r="A22" s="66">
        <v>13</v>
      </c>
      <c r="B22" s="66" t="s">
        <v>209</v>
      </c>
      <c r="C22" s="67">
        <v>3982.54</v>
      </c>
      <c r="D22" s="67">
        <v>3982.54</v>
      </c>
      <c r="E22" s="66">
        <v>0</v>
      </c>
      <c r="F22" s="67">
        <v>54314.239999999998</v>
      </c>
      <c r="G22" s="66">
        <v>13.64</v>
      </c>
      <c r="H22" s="67">
        <v>4472.08</v>
      </c>
      <c r="I22" s="67">
        <v>242897.39</v>
      </c>
    </row>
    <row r="23" spans="1:9" ht="27.6" x14ac:dyDescent="0.3">
      <c r="A23" s="66">
        <v>14</v>
      </c>
      <c r="B23" s="66" t="s">
        <v>27</v>
      </c>
      <c r="C23" s="67">
        <v>1922.3</v>
      </c>
      <c r="D23" s="67">
        <v>1922.3</v>
      </c>
      <c r="E23" s="66">
        <v>0</v>
      </c>
      <c r="F23" s="67">
        <v>35103.410000000003</v>
      </c>
      <c r="G23" s="66">
        <v>18.260000000000002</v>
      </c>
      <c r="H23" s="67">
        <v>5789.57</v>
      </c>
      <c r="I23" s="67">
        <v>203233.61</v>
      </c>
    </row>
    <row r="24" spans="1:9" x14ac:dyDescent="0.3">
      <c r="A24" s="66">
        <v>15</v>
      </c>
      <c r="B24" s="66" t="s">
        <v>210</v>
      </c>
      <c r="C24" s="67">
        <v>9769</v>
      </c>
      <c r="D24" s="67">
        <v>9769</v>
      </c>
      <c r="E24" s="66">
        <v>0</v>
      </c>
      <c r="F24" s="67">
        <v>177116.52</v>
      </c>
      <c r="G24" s="66">
        <v>18.13</v>
      </c>
      <c r="H24" s="67">
        <v>2192.7800000000002</v>
      </c>
      <c r="I24" s="67">
        <v>388378.2</v>
      </c>
    </row>
    <row r="25" spans="1:9" x14ac:dyDescent="0.3">
      <c r="A25" s="66">
        <v>16</v>
      </c>
      <c r="B25" s="66" t="s">
        <v>28</v>
      </c>
      <c r="C25" s="67">
        <v>2147</v>
      </c>
      <c r="D25" s="67">
        <v>2147</v>
      </c>
      <c r="E25" s="66">
        <v>0</v>
      </c>
      <c r="F25" s="67">
        <v>32563.48</v>
      </c>
      <c r="G25" s="66">
        <v>15.17</v>
      </c>
      <c r="H25" s="67">
        <v>3590.24</v>
      </c>
      <c r="I25" s="67">
        <v>116910.79</v>
      </c>
    </row>
    <row r="26" spans="1:9" ht="27.6" x14ac:dyDescent="0.3">
      <c r="A26" s="66">
        <v>17</v>
      </c>
      <c r="B26" s="66" t="s">
        <v>29</v>
      </c>
      <c r="C26" s="66">
        <v>120</v>
      </c>
      <c r="D26" s="66">
        <v>120</v>
      </c>
      <c r="E26" s="66">
        <v>0</v>
      </c>
      <c r="F26" s="67">
        <v>1224</v>
      </c>
      <c r="G26" s="66">
        <v>10.199999999999999</v>
      </c>
      <c r="H26" s="67">
        <v>6502.03</v>
      </c>
      <c r="I26" s="67">
        <v>7958.48</v>
      </c>
    </row>
    <row r="27" spans="1:9" x14ac:dyDescent="0.3">
      <c r="A27" s="66">
        <v>18</v>
      </c>
      <c r="B27" s="66" t="s">
        <v>31</v>
      </c>
      <c r="C27" s="67">
        <v>15629.5</v>
      </c>
      <c r="D27" s="67">
        <v>15629.5</v>
      </c>
      <c r="E27" s="66">
        <v>0</v>
      </c>
      <c r="F27" s="67">
        <v>214532</v>
      </c>
      <c r="G27" s="66">
        <v>13.73</v>
      </c>
      <c r="H27" s="67">
        <v>2034.76</v>
      </c>
      <c r="I27" s="67">
        <v>436521.73</v>
      </c>
    </row>
    <row r="28" spans="1:9" x14ac:dyDescent="0.3">
      <c r="A28" s="66">
        <v>19</v>
      </c>
      <c r="B28" s="66" t="s">
        <v>32</v>
      </c>
      <c r="C28" s="66">
        <v>218</v>
      </c>
      <c r="D28" s="66">
        <v>218</v>
      </c>
      <c r="E28" s="66">
        <v>0</v>
      </c>
      <c r="F28" s="67">
        <v>4153.24</v>
      </c>
      <c r="G28" s="66">
        <v>19.05</v>
      </c>
      <c r="H28" s="67">
        <v>4234.43</v>
      </c>
      <c r="I28" s="67">
        <v>17586.59</v>
      </c>
    </row>
    <row r="29" spans="1:9" ht="27.6" x14ac:dyDescent="0.3">
      <c r="A29" s="66">
        <v>20</v>
      </c>
      <c r="B29" s="66" t="s">
        <v>211</v>
      </c>
      <c r="C29" s="67">
        <v>3655</v>
      </c>
      <c r="D29" s="67">
        <v>3655</v>
      </c>
      <c r="E29" s="66">
        <v>0</v>
      </c>
      <c r="F29" s="67">
        <v>32592</v>
      </c>
      <c r="G29" s="66">
        <v>8.92</v>
      </c>
      <c r="H29" s="67">
        <v>3245.13</v>
      </c>
      <c r="I29" s="67">
        <v>105765.38</v>
      </c>
    </row>
    <row r="30" spans="1:9" ht="27.6" x14ac:dyDescent="0.3">
      <c r="A30" s="66">
        <v>21</v>
      </c>
      <c r="B30" s="66" t="s">
        <v>33</v>
      </c>
      <c r="C30" s="67">
        <v>8008</v>
      </c>
      <c r="D30" s="67">
        <v>8008</v>
      </c>
      <c r="E30" s="66">
        <v>0</v>
      </c>
      <c r="F30" s="67">
        <v>104547.6</v>
      </c>
      <c r="G30" s="66">
        <v>13.06</v>
      </c>
      <c r="H30" s="67">
        <v>4493.67</v>
      </c>
      <c r="I30" s="67">
        <v>469802.02</v>
      </c>
    </row>
    <row r="31" spans="1:9" x14ac:dyDescent="0.3">
      <c r="A31" s="66">
        <v>22</v>
      </c>
      <c r="B31" s="66" t="s">
        <v>204</v>
      </c>
      <c r="C31" s="67">
        <v>5832.7</v>
      </c>
      <c r="D31" s="67">
        <v>5676.7</v>
      </c>
      <c r="E31" s="66">
        <v>156</v>
      </c>
      <c r="F31" s="67">
        <v>62685.120000000003</v>
      </c>
      <c r="G31" s="66">
        <v>11.04</v>
      </c>
      <c r="H31" s="67">
        <v>6502.1</v>
      </c>
      <c r="I31" s="67">
        <v>407584.76</v>
      </c>
    </row>
    <row r="32" spans="1:9" x14ac:dyDescent="0.3">
      <c r="A32" s="66">
        <v>23</v>
      </c>
      <c r="B32" s="66" t="s">
        <v>34</v>
      </c>
      <c r="C32" s="67">
        <v>2059</v>
      </c>
      <c r="D32" s="67">
        <v>2059</v>
      </c>
      <c r="E32" s="66">
        <v>0</v>
      </c>
      <c r="F32" s="67">
        <v>33853.47</v>
      </c>
      <c r="G32" s="66">
        <v>16.440000000000001</v>
      </c>
      <c r="H32" s="67">
        <v>4831.08</v>
      </c>
      <c r="I32" s="67">
        <v>163548.89000000001</v>
      </c>
    </row>
    <row r="33" spans="1:9" ht="27.6" x14ac:dyDescent="0.3">
      <c r="A33" s="66">
        <v>24</v>
      </c>
      <c r="B33" s="66" t="s">
        <v>213</v>
      </c>
      <c r="C33" s="66">
        <v>38</v>
      </c>
      <c r="D33" s="66">
        <v>38</v>
      </c>
      <c r="E33" s="66">
        <v>0</v>
      </c>
      <c r="F33" s="66">
        <v>425.92</v>
      </c>
      <c r="G33" s="66">
        <v>11.21</v>
      </c>
      <c r="H33" s="67">
        <v>3364.24</v>
      </c>
      <c r="I33" s="67">
        <v>1432.9</v>
      </c>
    </row>
    <row r="34" spans="1:9" x14ac:dyDescent="0.3">
      <c r="A34" s="66">
        <v>25</v>
      </c>
      <c r="B34" s="66" t="s">
        <v>35</v>
      </c>
      <c r="C34" s="66">
        <v>45</v>
      </c>
      <c r="D34" s="66">
        <v>45</v>
      </c>
      <c r="E34" s="66">
        <v>0</v>
      </c>
      <c r="F34" s="66">
        <v>751.92</v>
      </c>
      <c r="G34" s="66">
        <v>16.71</v>
      </c>
      <c r="H34" s="67">
        <v>2800.28</v>
      </c>
      <c r="I34" s="67">
        <v>2105.58</v>
      </c>
    </row>
    <row r="35" spans="1:9" x14ac:dyDescent="0.3">
      <c r="A35" s="130" t="s">
        <v>38</v>
      </c>
      <c r="B35" s="131"/>
      <c r="C35" s="68">
        <v>70569.78</v>
      </c>
      <c r="D35" s="68">
        <v>70413.78</v>
      </c>
      <c r="E35" s="69">
        <v>156</v>
      </c>
      <c r="F35" s="68">
        <v>1069696.98</v>
      </c>
      <c r="G35" s="69">
        <v>15.19</v>
      </c>
      <c r="H35" s="68">
        <v>3431.27</v>
      </c>
      <c r="I35" s="68">
        <v>3670422.22</v>
      </c>
    </row>
  </sheetData>
  <mergeCells count="6">
    <mergeCell ref="F7:F9"/>
    <mergeCell ref="A35:B35"/>
    <mergeCell ref="A7:A9"/>
    <mergeCell ref="B7:B9"/>
    <mergeCell ref="C7:E7"/>
    <mergeCell ref="C8:E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H15" sqref="H15"/>
    </sheetView>
  </sheetViews>
  <sheetFormatPr defaultRowHeight="14.4" x14ac:dyDescent="0.3"/>
  <sheetData>
    <row r="1" spans="1:9" x14ac:dyDescent="0.3">
      <c r="A1" s="71" t="s">
        <v>0</v>
      </c>
      <c r="B1" s="70"/>
      <c r="C1" s="70"/>
      <c r="D1" s="70"/>
      <c r="E1" s="70"/>
      <c r="F1" s="70"/>
      <c r="G1" s="70"/>
      <c r="H1" s="70"/>
      <c r="I1" s="70"/>
    </row>
    <row r="2" spans="1:9" x14ac:dyDescent="0.3">
      <c r="A2" s="71" t="s">
        <v>1</v>
      </c>
      <c r="B2" s="70"/>
      <c r="C2" s="70"/>
      <c r="D2" s="70"/>
      <c r="E2" s="70"/>
      <c r="F2" s="70"/>
      <c r="G2" s="70"/>
      <c r="H2" s="70"/>
      <c r="I2" s="70"/>
    </row>
    <row r="3" spans="1:9" x14ac:dyDescent="0.3">
      <c r="A3" s="71" t="s">
        <v>2</v>
      </c>
      <c r="B3" s="70"/>
      <c r="C3" s="70"/>
      <c r="D3" s="70"/>
      <c r="E3" s="70"/>
      <c r="F3" s="70"/>
      <c r="G3" s="70"/>
      <c r="H3" s="70"/>
      <c r="I3" s="70"/>
    </row>
    <row r="4" spans="1:9" x14ac:dyDescent="0.3">
      <c r="A4" s="71" t="s">
        <v>3</v>
      </c>
      <c r="B4" s="70"/>
      <c r="C4" s="70"/>
      <c r="D4" s="70"/>
      <c r="E4" s="70"/>
      <c r="F4" s="70"/>
      <c r="G4" s="70"/>
      <c r="H4" s="70"/>
      <c r="I4" s="70"/>
    </row>
    <row r="5" spans="1:9" x14ac:dyDescent="0.3">
      <c r="A5" s="71" t="s">
        <v>221</v>
      </c>
      <c r="B5" s="70"/>
      <c r="C5" s="70"/>
      <c r="D5" s="70"/>
      <c r="E5" s="70"/>
      <c r="F5" s="70"/>
      <c r="G5" s="70"/>
      <c r="H5" s="70"/>
      <c r="I5" s="70"/>
    </row>
    <row r="7" spans="1:9" ht="41.4" x14ac:dyDescent="0.3">
      <c r="A7" s="132"/>
      <c r="B7" s="132" t="s">
        <v>5</v>
      </c>
      <c r="C7" s="135" t="s">
        <v>6</v>
      </c>
      <c r="D7" s="136"/>
      <c r="E7" s="137"/>
      <c r="F7" s="132" t="s">
        <v>8</v>
      </c>
      <c r="G7" s="72" t="s">
        <v>9</v>
      </c>
      <c r="H7" s="72" t="s">
        <v>11</v>
      </c>
      <c r="I7" s="72" t="s">
        <v>13</v>
      </c>
    </row>
    <row r="8" spans="1:9" ht="27.6" x14ac:dyDescent="0.3">
      <c r="A8" s="133"/>
      <c r="B8" s="133"/>
      <c r="C8" s="138" t="s">
        <v>7</v>
      </c>
      <c r="D8" s="139"/>
      <c r="E8" s="140"/>
      <c r="F8" s="133"/>
      <c r="G8" s="73" t="s">
        <v>10</v>
      </c>
      <c r="H8" s="73" t="s">
        <v>12</v>
      </c>
      <c r="I8" s="73" t="s">
        <v>14</v>
      </c>
    </row>
    <row r="9" spans="1:9" ht="27.6" x14ac:dyDescent="0.3">
      <c r="A9" s="134"/>
      <c r="B9" s="134"/>
      <c r="C9" s="75" t="s">
        <v>15</v>
      </c>
      <c r="D9" s="75" t="s">
        <v>16</v>
      </c>
      <c r="E9" s="75" t="s">
        <v>17</v>
      </c>
      <c r="F9" s="134"/>
      <c r="G9" s="74"/>
      <c r="H9" s="74"/>
      <c r="I9" s="74"/>
    </row>
    <row r="10" spans="1:9" ht="27.6" x14ac:dyDescent="0.3">
      <c r="A10" s="76">
        <v>1</v>
      </c>
      <c r="B10" s="76" t="s">
        <v>23</v>
      </c>
      <c r="C10" s="76">
        <v>30</v>
      </c>
      <c r="D10" s="76">
        <v>30</v>
      </c>
      <c r="E10" s="76">
        <v>0</v>
      </c>
      <c r="F10" s="76">
        <v>58</v>
      </c>
      <c r="G10" s="76">
        <v>1.93</v>
      </c>
      <c r="H10" s="77">
        <v>10200</v>
      </c>
      <c r="I10" s="76">
        <v>591.6</v>
      </c>
    </row>
    <row r="11" spans="1:9" ht="27.6" x14ac:dyDescent="0.3">
      <c r="A11" s="76">
        <v>2</v>
      </c>
      <c r="B11" s="76" t="s">
        <v>27</v>
      </c>
      <c r="C11" s="77">
        <v>6950</v>
      </c>
      <c r="D11" s="77">
        <v>6950</v>
      </c>
      <c r="E11" s="76">
        <v>0</v>
      </c>
      <c r="F11" s="77">
        <v>8056.44</v>
      </c>
      <c r="G11" s="76">
        <v>1.1599999999999999</v>
      </c>
      <c r="H11" s="77">
        <v>11452.36</v>
      </c>
      <c r="I11" s="77">
        <v>92265.24</v>
      </c>
    </row>
    <row r="12" spans="1:9" x14ac:dyDescent="0.3">
      <c r="A12" s="130" t="s">
        <v>38</v>
      </c>
      <c r="B12" s="131"/>
      <c r="C12" s="78">
        <v>6980</v>
      </c>
      <c r="D12" s="78">
        <v>6980</v>
      </c>
      <c r="E12" s="79">
        <v>0</v>
      </c>
      <c r="F12" s="78">
        <v>8114.44</v>
      </c>
      <c r="G12" s="79">
        <v>1.1599999999999999</v>
      </c>
      <c r="H12" s="78">
        <v>11443.41</v>
      </c>
      <c r="I12" s="78">
        <v>92856.84</v>
      </c>
    </row>
  </sheetData>
  <mergeCells count="6">
    <mergeCell ref="F7:F9"/>
    <mergeCell ref="A12:B12"/>
    <mergeCell ref="A7:A9"/>
    <mergeCell ref="B7:B9"/>
    <mergeCell ref="C7:E7"/>
    <mergeCell ref="C8:E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abSelected="1" workbookViewId="0">
      <selection activeCell="N12" sqref="N12"/>
    </sheetView>
  </sheetViews>
  <sheetFormatPr defaultRowHeight="14.4" x14ac:dyDescent="0.3"/>
  <cols>
    <col min="3" max="4" width="10" bestFit="1" customWidth="1"/>
    <col min="5" max="5" width="8.77734375" bestFit="1" customWidth="1"/>
    <col min="6" max="6" width="11.44140625" bestFit="1" customWidth="1"/>
    <col min="7" max="7" width="8.5546875" bestFit="1" customWidth="1"/>
    <col min="9" max="9" width="12.44140625" bestFit="1" customWidth="1"/>
  </cols>
  <sheetData>
    <row r="1" spans="1:9" x14ac:dyDescent="0.3">
      <c r="A1" s="142" t="s">
        <v>0</v>
      </c>
      <c r="B1" s="141"/>
      <c r="C1" s="141"/>
      <c r="D1" s="141"/>
      <c r="E1" s="141"/>
      <c r="F1" s="141"/>
      <c r="G1" s="141"/>
      <c r="H1" s="141"/>
      <c r="I1" s="141"/>
    </row>
    <row r="2" spans="1:9" x14ac:dyDescent="0.3">
      <c r="A2" s="142" t="s">
        <v>1</v>
      </c>
      <c r="B2" s="141"/>
      <c r="C2" s="141"/>
      <c r="D2" s="141"/>
      <c r="E2" s="141"/>
      <c r="F2" s="141"/>
      <c r="G2" s="141"/>
      <c r="H2" s="141"/>
      <c r="I2" s="141"/>
    </row>
    <row r="3" spans="1:9" x14ac:dyDescent="0.3">
      <c r="A3" s="142" t="s">
        <v>2</v>
      </c>
      <c r="B3" s="141"/>
      <c r="C3" s="141"/>
      <c r="D3" s="141"/>
      <c r="E3" s="141"/>
      <c r="F3" s="141"/>
      <c r="G3" s="141"/>
      <c r="H3" s="141"/>
      <c r="I3" s="141"/>
    </row>
    <row r="4" spans="1:9" x14ac:dyDescent="0.3">
      <c r="A4" s="142" t="s">
        <v>3</v>
      </c>
      <c r="B4" s="141"/>
      <c r="C4" s="141"/>
      <c r="D4" s="141"/>
      <c r="E4" s="141"/>
      <c r="F4" s="141"/>
      <c r="G4" s="141"/>
      <c r="H4" s="141"/>
      <c r="I4" s="141"/>
    </row>
    <row r="5" spans="1:9" x14ac:dyDescent="0.3">
      <c r="A5" s="142" t="s">
        <v>228</v>
      </c>
      <c r="B5" s="141"/>
      <c r="C5" s="141"/>
      <c r="D5" s="141"/>
      <c r="E5" s="141"/>
      <c r="F5" s="141"/>
      <c r="G5" s="141"/>
      <c r="H5" s="141"/>
      <c r="I5" s="141"/>
    </row>
    <row r="7" spans="1:9" ht="41.4" x14ac:dyDescent="0.3">
      <c r="A7" s="132"/>
      <c r="B7" s="132" t="s">
        <v>5</v>
      </c>
      <c r="C7" s="135" t="s">
        <v>6</v>
      </c>
      <c r="D7" s="136"/>
      <c r="E7" s="137"/>
      <c r="F7" s="132" t="s">
        <v>8</v>
      </c>
      <c r="G7" s="143" t="s">
        <v>9</v>
      </c>
      <c r="H7" s="143" t="s">
        <v>11</v>
      </c>
      <c r="I7" s="143" t="s">
        <v>13</v>
      </c>
    </row>
    <row r="8" spans="1:9" ht="27.6" x14ac:dyDescent="0.3">
      <c r="A8" s="133"/>
      <c r="B8" s="133"/>
      <c r="C8" s="138" t="s">
        <v>7</v>
      </c>
      <c r="D8" s="139"/>
      <c r="E8" s="140"/>
      <c r="F8" s="133"/>
      <c r="G8" s="144" t="s">
        <v>10</v>
      </c>
      <c r="H8" s="144" t="s">
        <v>12</v>
      </c>
      <c r="I8" s="144" t="s">
        <v>14</v>
      </c>
    </row>
    <row r="9" spans="1:9" ht="27.6" x14ac:dyDescent="0.3">
      <c r="A9" s="134"/>
      <c r="B9" s="134"/>
      <c r="C9" s="146" t="s">
        <v>15</v>
      </c>
      <c r="D9" s="146" t="s">
        <v>16</v>
      </c>
      <c r="E9" s="146" t="s">
        <v>17</v>
      </c>
      <c r="F9" s="134"/>
      <c r="G9" s="145"/>
      <c r="H9" s="145"/>
      <c r="I9" s="145"/>
    </row>
    <row r="10" spans="1:9" ht="27.6" x14ac:dyDescent="0.3">
      <c r="A10" s="147">
        <v>1</v>
      </c>
      <c r="B10" s="147" t="s">
        <v>18</v>
      </c>
      <c r="C10" s="147">
        <v>600</v>
      </c>
      <c r="D10" s="147">
        <v>520</v>
      </c>
      <c r="E10" s="147">
        <v>0</v>
      </c>
      <c r="F10" s="148">
        <v>6240</v>
      </c>
      <c r="G10" s="147">
        <v>12</v>
      </c>
      <c r="H10" s="148">
        <v>6016.35</v>
      </c>
      <c r="I10" s="148">
        <v>37542.019999999997</v>
      </c>
    </row>
    <row r="11" spans="1:9" ht="27.6" x14ac:dyDescent="0.3">
      <c r="A11" s="147">
        <v>2</v>
      </c>
      <c r="B11" s="147" t="s">
        <v>19</v>
      </c>
      <c r="C11" s="147">
        <v>159.55000000000001</v>
      </c>
      <c r="D11" s="147">
        <v>139.05000000000001</v>
      </c>
      <c r="E11" s="147">
        <v>0</v>
      </c>
      <c r="F11" s="148">
        <v>1708.56</v>
      </c>
      <c r="G11" s="147">
        <v>12.29</v>
      </c>
      <c r="H11" s="148">
        <v>11881.99</v>
      </c>
      <c r="I11" s="148">
        <v>20301.099999999999</v>
      </c>
    </row>
    <row r="12" spans="1:9" ht="41.4" x14ac:dyDescent="0.3">
      <c r="A12" s="147">
        <v>3</v>
      </c>
      <c r="B12" s="147" t="s">
        <v>20</v>
      </c>
      <c r="C12" s="147">
        <v>74.5</v>
      </c>
      <c r="D12" s="147">
        <v>41.5</v>
      </c>
      <c r="E12" s="147">
        <v>0</v>
      </c>
      <c r="F12" s="147">
        <v>293.31</v>
      </c>
      <c r="G12" s="147">
        <v>7.07</v>
      </c>
      <c r="H12" s="148">
        <v>8376.74</v>
      </c>
      <c r="I12" s="148">
        <v>2456.98</v>
      </c>
    </row>
    <row r="13" spans="1:9" ht="27.6" x14ac:dyDescent="0.3">
      <c r="A13" s="147">
        <v>4</v>
      </c>
      <c r="B13" s="147" t="s">
        <v>206</v>
      </c>
      <c r="C13" s="148">
        <v>1785.5</v>
      </c>
      <c r="D13" s="148">
        <v>1677</v>
      </c>
      <c r="E13" s="147">
        <v>0</v>
      </c>
      <c r="F13" s="148">
        <v>15275.98</v>
      </c>
      <c r="G13" s="147">
        <v>9.11</v>
      </c>
      <c r="H13" s="148">
        <v>10195.73</v>
      </c>
      <c r="I13" s="148">
        <v>155749.82</v>
      </c>
    </row>
    <row r="14" spans="1:9" x14ac:dyDescent="0.3">
      <c r="A14" s="147">
        <v>5</v>
      </c>
      <c r="B14" s="147" t="s">
        <v>202</v>
      </c>
      <c r="C14" s="148">
        <v>22033.38</v>
      </c>
      <c r="D14" s="148">
        <v>21999.38</v>
      </c>
      <c r="E14" s="147">
        <v>0</v>
      </c>
      <c r="F14" s="148">
        <v>315562.25</v>
      </c>
      <c r="G14" s="147">
        <v>14.34</v>
      </c>
      <c r="H14" s="148">
        <v>10319.120000000001</v>
      </c>
      <c r="I14" s="148">
        <v>3256325.96</v>
      </c>
    </row>
    <row r="15" spans="1:9" x14ac:dyDescent="0.3">
      <c r="A15" s="147">
        <v>6</v>
      </c>
      <c r="B15" s="147" t="s">
        <v>203</v>
      </c>
      <c r="C15" s="148">
        <v>3018.55</v>
      </c>
      <c r="D15" s="148">
        <v>2715.7</v>
      </c>
      <c r="E15" s="147">
        <v>0</v>
      </c>
      <c r="F15" s="148">
        <v>18452.689999999999</v>
      </c>
      <c r="G15" s="147">
        <v>6.79</v>
      </c>
      <c r="H15" s="148">
        <v>5291.47</v>
      </c>
      <c r="I15" s="148">
        <v>97641.9</v>
      </c>
    </row>
    <row r="16" spans="1:9" x14ac:dyDescent="0.3">
      <c r="A16" s="147">
        <v>7</v>
      </c>
      <c r="B16" s="147" t="s">
        <v>208</v>
      </c>
      <c r="C16" s="147">
        <v>256.81</v>
      </c>
      <c r="D16" s="147">
        <v>256.81</v>
      </c>
      <c r="E16" s="147">
        <v>0</v>
      </c>
      <c r="F16" s="147">
        <v>557.41999999999996</v>
      </c>
      <c r="G16" s="147">
        <v>2.17</v>
      </c>
      <c r="H16" s="148">
        <v>7013.98</v>
      </c>
      <c r="I16" s="148">
        <v>3909.73</v>
      </c>
    </row>
    <row r="17" spans="1:9" ht="27.6" x14ac:dyDescent="0.3">
      <c r="A17" s="147">
        <v>8</v>
      </c>
      <c r="B17" s="147" t="s">
        <v>23</v>
      </c>
      <c r="C17" s="147">
        <v>169.2</v>
      </c>
      <c r="D17" s="147">
        <v>153.5</v>
      </c>
      <c r="E17" s="147">
        <v>0</v>
      </c>
      <c r="F17" s="148">
        <v>1026.2</v>
      </c>
      <c r="G17" s="147">
        <v>6.69</v>
      </c>
      <c r="H17" s="148">
        <v>11417.1</v>
      </c>
      <c r="I17" s="148">
        <v>11716.23</v>
      </c>
    </row>
    <row r="18" spans="1:9" x14ac:dyDescent="0.3">
      <c r="A18" s="147">
        <v>9</v>
      </c>
      <c r="B18" s="147" t="s">
        <v>24</v>
      </c>
      <c r="C18" s="148">
        <v>7308.67</v>
      </c>
      <c r="D18" s="148">
        <v>7183.86</v>
      </c>
      <c r="E18" s="147">
        <v>0</v>
      </c>
      <c r="F18" s="148">
        <v>83869.429999999993</v>
      </c>
      <c r="G18" s="147">
        <v>11.67</v>
      </c>
      <c r="H18" s="148">
        <v>6650.33</v>
      </c>
      <c r="I18" s="148">
        <v>557759.49</v>
      </c>
    </row>
    <row r="19" spans="1:9" x14ac:dyDescent="0.3">
      <c r="A19" s="147">
        <v>10</v>
      </c>
      <c r="B19" s="147" t="s">
        <v>25</v>
      </c>
      <c r="C19" s="147">
        <v>232.1</v>
      </c>
      <c r="D19" s="147">
        <v>227.9</v>
      </c>
      <c r="E19" s="147">
        <v>0</v>
      </c>
      <c r="F19" s="148">
        <v>1435.48</v>
      </c>
      <c r="G19" s="147">
        <v>6.3</v>
      </c>
      <c r="H19" s="148">
        <v>4970.1099999999997</v>
      </c>
      <c r="I19" s="148">
        <v>7134.49</v>
      </c>
    </row>
    <row r="20" spans="1:9" x14ac:dyDescent="0.3">
      <c r="A20" s="147">
        <v>11</v>
      </c>
      <c r="B20" s="147" t="s">
        <v>26</v>
      </c>
      <c r="C20" s="148">
        <v>6958.8</v>
      </c>
      <c r="D20" s="148">
        <v>6346</v>
      </c>
      <c r="E20" s="147">
        <v>0</v>
      </c>
      <c r="F20" s="148">
        <v>107377.84</v>
      </c>
      <c r="G20" s="147">
        <v>16.920000000000002</v>
      </c>
      <c r="H20" s="148">
        <v>11484.42</v>
      </c>
      <c r="I20" s="148">
        <v>1233172.1599999999</v>
      </c>
    </row>
    <row r="21" spans="1:9" x14ac:dyDescent="0.3">
      <c r="A21" s="147">
        <v>12</v>
      </c>
      <c r="B21" s="147" t="s">
        <v>209</v>
      </c>
      <c r="C21" s="147">
        <v>148.9</v>
      </c>
      <c r="D21" s="147">
        <v>148.9</v>
      </c>
      <c r="E21" s="147">
        <v>0</v>
      </c>
      <c r="F21" s="148">
        <v>1170.8</v>
      </c>
      <c r="G21" s="147">
        <v>7.86</v>
      </c>
      <c r="H21" s="148">
        <v>8591.0300000000007</v>
      </c>
      <c r="I21" s="148">
        <v>10058.370000000001</v>
      </c>
    </row>
    <row r="22" spans="1:9" ht="27.6" x14ac:dyDescent="0.3">
      <c r="A22" s="147">
        <v>13</v>
      </c>
      <c r="B22" s="147" t="s">
        <v>27</v>
      </c>
      <c r="C22" s="148">
        <v>63807.5</v>
      </c>
      <c r="D22" s="148">
        <v>63030</v>
      </c>
      <c r="E22" s="147">
        <v>0</v>
      </c>
      <c r="F22" s="148">
        <v>1004414.92</v>
      </c>
      <c r="G22" s="147">
        <v>15.94</v>
      </c>
      <c r="H22" s="148">
        <v>12013.03</v>
      </c>
      <c r="I22" s="148">
        <v>12066066.939999999</v>
      </c>
    </row>
    <row r="23" spans="1:9" x14ac:dyDescent="0.3">
      <c r="A23" s="147">
        <v>14</v>
      </c>
      <c r="B23" s="147" t="s">
        <v>210</v>
      </c>
      <c r="C23" s="147">
        <v>585.5</v>
      </c>
      <c r="D23" s="147">
        <v>554.5</v>
      </c>
      <c r="E23" s="147">
        <v>0</v>
      </c>
      <c r="F23" s="148">
        <v>7068.54</v>
      </c>
      <c r="G23" s="147">
        <v>12.75</v>
      </c>
      <c r="H23" s="148">
        <v>10231.11</v>
      </c>
      <c r="I23" s="148">
        <v>72318.990000000005</v>
      </c>
    </row>
    <row r="24" spans="1:9" x14ac:dyDescent="0.3">
      <c r="A24" s="147">
        <v>15</v>
      </c>
      <c r="B24" s="147" t="s">
        <v>28</v>
      </c>
      <c r="C24" s="148">
        <v>3322.81</v>
      </c>
      <c r="D24" s="148">
        <v>2881.81</v>
      </c>
      <c r="E24" s="147">
        <v>0</v>
      </c>
      <c r="F24" s="148">
        <v>35097.11</v>
      </c>
      <c r="G24" s="147">
        <v>12.18</v>
      </c>
      <c r="H24" s="148">
        <v>7354.57</v>
      </c>
      <c r="I24" s="148">
        <v>258124.24</v>
      </c>
    </row>
    <row r="25" spans="1:9" ht="27.6" x14ac:dyDescent="0.3">
      <c r="A25" s="147">
        <v>16</v>
      </c>
      <c r="B25" s="147" t="s">
        <v>29</v>
      </c>
      <c r="C25" s="148">
        <v>1169</v>
      </c>
      <c r="D25" s="147">
        <v>855</v>
      </c>
      <c r="E25" s="147">
        <v>0</v>
      </c>
      <c r="F25" s="148">
        <v>8031</v>
      </c>
      <c r="G25" s="147">
        <v>9.39</v>
      </c>
      <c r="H25" s="148">
        <v>8484.33</v>
      </c>
      <c r="I25" s="148">
        <v>68137.66</v>
      </c>
    </row>
    <row r="26" spans="1:9" x14ac:dyDescent="0.3">
      <c r="A26" s="147">
        <v>17</v>
      </c>
      <c r="B26" s="147" t="s">
        <v>30</v>
      </c>
      <c r="C26" s="148">
        <v>29087.67</v>
      </c>
      <c r="D26" s="148">
        <v>22870.49</v>
      </c>
      <c r="E26" s="147">
        <v>0</v>
      </c>
      <c r="F26" s="148">
        <v>310220.24</v>
      </c>
      <c r="G26" s="147">
        <v>13.56</v>
      </c>
      <c r="H26" s="148">
        <v>6334.07</v>
      </c>
      <c r="I26" s="148">
        <v>1964957.43</v>
      </c>
    </row>
    <row r="27" spans="1:9" x14ac:dyDescent="0.3">
      <c r="A27" s="147">
        <v>18</v>
      </c>
      <c r="B27" s="147" t="s">
        <v>31</v>
      </c>
      <c r="C27" s="148">
        <v>3198.25</v>
      </c>
      <c r="D27" s="148">
        <v>2967</v>
      </c>
      <c r="E27" s="147">
        <v>0</v>
      </c>
      <c r="F27" s="148">
        <v>44671.37</v>
      </c>
      <c r="G27" s="147">
        <v>15.06</v>
      </c>
      <c r="H27" s="148">
        <v>10087.73</v>
      </c>
      <c r="I27" s="148">
        <v>450632.75</v>
      </c>
    </row>
    <row r="28" spans="1:9" x14ac:dyDescent="0.3">
      <c r="A28" s="147">
        <v>19</v>
      </c>
      <c r="B28" s="147" t="s">
        <v>32</v>
      </c>
      <c r="C28" s="147">
        <v>8</v>
      </c>
      <c r="D28" s="147">
        <v>8</v>
      </c>
      <c r="E28" s="147">
        <v>0</v>
      </c>
      <c r="F28" s="147">
        <v>23.08</v>
      </c>
      <c r="G28" s="147">
        <v>2.89</v>
      </c>
      <c r="H28" s="148">
        <v>4419.47</v>
      </c>
      <c r="I28" s="147">
        <v>102</v>
      </c>
    </row>
    <row r="29" spans="1:9" ht="27.6" x14ac:dyDescent="0.3">
      <c r="A29" s="147">
        <v>20</v>
      </c>
      <c r="B29" s="147" t="s">
        <v>211</v>
      </c>
      <c r="C29" s="148">
        <v>6322</v>
      </c>
      <c r="D29" s="148">
        <v>3629</v>
      </c>
      <c r="E29" s="147">
        <v>0</v>
      </c>
      <c r="F29" s="148">
        <v>42742.6</v>
      </c>
      <c r="G29" s="147">
        <v>11.78</v>
      </c>
      <c r="H29" s="148">
        <v>9281.2999999999993</v>
      </c>
      <c r="I29" s="148">
        <v>396706.73</v>
      </c>
    </row>
    <row r="30" spans="1:9" ht="27.6" x14ac:dyDescent="0.3">
      <c r="A30" s="147">
        <v>21</v>
      </c>
      <c r="B30" s="147" t="s">
        <v>33</v>
      </c>
      <c r="C30" s="148">
        <v>1869</v>
      </c>
      <c r="D30" s="148">
        <v>1759</v>
      </c>
      <c r="E30" s="147">
        <v>0</v>
      </c>
      <c r="F30" s="148">
        <v>46660.55</v>
      </c>
      <c r="G30" s="147">
        <v>26.53</v>
      </c>
      <c r="H30" s="148">
        <v>12114.86</v>
      </c>
      <c r="I30" s="148">
        <v>565285.87</v>
      </c>
    </row>
    <row r="31" spans="1:9" x14ac:dyDescent="0.3">
      <c r="A31" s="147">
        <v>22</v>
      </c>
      <c r="B31" s="147" t="s">
        <v>204</v>
      </c>
      <c r="C31" s="148">
        <v>1557.1</v>
      </c>
      <c r="D31" s="148">
        <v>1557.1</v>
      </c>
      <c r="E31" s="147">
        <v>0</v>
      </c>
      <c r="F31" s="148">
        <v>26238.04</v>
      </c>
      <c r="G31" s="147">
        <v>16.850000000000001</v>
      </c>
      <c r="H31" s="148">
        <v>8312.44</v>
      </c>
      <c r="I31" s="148">
        <v>218102.07</v>
      </c>
    </row>
    <row r="32" spans="1:9" x14ac:dyDescent="0.3">
      <c r="A32" s="147">
        <v>23</v>
      </c>
      <c r="B32" s="147" t="s">
        <v>34</v>
      </c>
      <c r="C32" s="147">
        <v>817</v>
      </c>
      <c r="D32" s="147">
        <v>305</v>
      </c>
      <c r="E32" s="147">
        <v>0</v>
      </c>
      <c r="F32" s="148">
        <v>4944.71</v>
      </c>
      <c r="G32" s="147">
        <v>16.21</v>
      </c>
      <c r="H32" s="148">
        <v>8035.75</v>
      </c>
      <c r="I32" s="148">
        <v>39734.46</v>
      </c>
    </row>
    <row r="33" spans="1:9" x14ac:dyDescent="0.3">
      <c r="A33" s="147">
        <v>24</v>
      </c>
      <c r="B33" s="147" t="s">
        <v>212</v>
      </c>
      <c r="C33" s="148">
        <v>7236.82</v>
      </c>
      <c r="D33" s="148">
        <v>7230.32</v>
      </c>
      <c r="E33" s="147">
        <v>0</v>
      </c>
      <c r="F33" s="148">
        <v>90483.29</v>
      </c>
      <c r="G33" s="147">
        <v>12.51</v>
      </c>
      <c r="H33" s="148">
        <v>4489.17</v>
      </c>
      <c r="I33" s="148">
        <v>406194.86</v>
      </c>
    </row>
    <row r="34" spans="1:9" ht="27.6" x14ac:dyDescent="0.3">
      <c r="A34" s="147">
        <v>25</v>
      </c>
      <c r="B34" s="147" t="s">
        <v>213</v>
      </c>
      <c r="C34" s="148">
        <v>8391.75</v>
      </c>
      <c r="D34" s="148">
        <v>7084</v>
      </c>
      <c r="E34" s="147">
        <v>0</v>
      </c>
      <c r="F34" s="148">
        <v>113884.29</v>
      </c>
      <c r="G34" s="147">
        <v>16.079999999999998</v>
      </c>
      <c r="H34" s="148">
        <v>8627.39</v>
      </c>
      <c r="I34" s="148">
        <v>982524.64</v>
      </c>
    </row>
    <row r="35" spans="1:9" x14ac:dyDescent="0.3">
      <c r="A35" s="147">
        <v>26</v>
      </c>
      <c r="B35" s="147" t="s">
        <v>36</v>
      </c>
      <c r="C35" s="148">
        <v>52930.8</v>
      </c>
      <c r="D35" s="148">
        <v>52571.48</v>
      </c>
      <c r="E35" s="147">
        <v>0</v>
      </c>
      <c r="F35" s="148">
        <v>866862.07999999996</v>
      </c>
      <c r="G35" s="147">
        <v>16.489999999999998</v>
      </c>
      <c r="H35" s="148">
        <v>6341.99</v>
      </c>
      <c r="I35" s="148">
        <v>5497630.6100000003</v>
      </c>
    </row>
    <row r="36" spans="1:9" x14ac:dyDescent="0.3">
      <c r="A36" s="147">
        <v>27</v>
      </c>
      <c r="B36" s="147" t="s">
        <v>214</v>
      </c>
      <c r="C36" s="148">
        <v>5078.43</v>
      </c>
      <c r="D36" s="148">
        <v>5070.18</v>
      </c>
      <c r="E36" s="147">
        <v>0</v>
      </c>
      <c r="F36" s="148">
        <v>111310.94</v>
      </c>
      <c r="G36" s="147">
        <v>21.95</v>
      </c>
      <c r="H36" s="148">
        <v>6120.63</v>
      </c>
      <c r="I36" s="148">
        <v>681293.17</v>
      </c>
    </row>
    <row r="37" spans="1:9" x14ac:dyDescent="0.3">
      <c r="A37" s="147">
        <v>28</v>
      </c>
      <c r="B37" s="147" t="s">
        <v>37</v>
      </c>
      <c r="C37" s="147">
        <v>807</v>
      </c>
      <c r="D37" s="147">
        <v>685</v>
      </c>
      <c r="E37" s="147">
        <v>0</v>
      </c>
      <c r="F37" s="148">
        <v>9669.25</v>
      </c>
      <c r="G37" s="147">
        <v>14.12</v>
      </c>
      <c r="H37" s="148">
        <v>9343.6</v>
      </c>
      <c r="I37" s="148">
        <v>90345.61</v>
      </c>
    </row>
    <row r="38" spans="1:9" x14ac:dyDescent="0.3">
      <c r="A38" s="130" t="s">
        <v>38</v>
      </c>
      <c r="B38" s="131"/>
      <c r="C38" s="149">
        <v>228934.59</v>
      </c>
      <c r="D38" s="149">
        <v>214467.48</v>
      </c>
      <c r="E38" s="150">
        <v>0</v>
      </c>
      <c r="F38" s="149">
        <v>3275291.97</v>
      </c>
      <c r="G38" s="150">
        <v>15.27</v>
      </c>
      <c r="H38" s="149">
        <v>8900.56</v>
      </c>
      <c r="I38" s="149">
        <v>29151926.300000001</v>
      </c>
    </row>
  </sheetData>
  <mergeCells count="6">
    <mergeCell ref="A38:B38"/>
    <mergeCell ref="A7:A9"/>
    <mergeCell ref="B7:B9"/>
    <mergeCell ref="C7:E7"/>
    <mergeCell ref="C8:E8"/>
    <mergeCell ref="F7:F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>
      <selection activeCell="L9" sqref="L9"/>
    </sheetView>
  </sheetViews>
  <sheetFormatPr defaultRowHeight="14.4" x14ac:dyDescent="0.3"/>
  <cols>
    <col min="3" max="4" width="11.44140625" bestFit="1" customWidth="1"/>
    <col min="6" max="6" width="12.44140625" bestFit="1" customWidth="1"/>
    <col min="9" max="9" width="13.5546875" bestFit="1" customWidth="1"/>
  </cols>
  <sheetData>
    <row r="1" spans="1:9" x14ac:dyDescent="0.3">
      <c r="A1" s="81" t="s">
        <v>0</v>
      </c>
      <c r="B1" s="80"/>
      <c r="C1" s="80"/>
      <c r="D1" s="80"/>
      <c r="E1" s="80"/>
      <c r="F1" s="80"/>
      <c r="G1" s="80"/>
      <c r="H1" s="80"/>
      <c r="I1" s="80"/>
    </row>
    <row r="2" spans="1:9" x14ac:dyDescent="0.3">
      <c r="A2" s="81" t="s">
        <v>1</v>
      </c>
      <c r="B2" s="80"/>
      <c r="C2" s="80"/>
      <c r="D2" s="80"/>
      <c r="E2" s="80"/>
      <c r="F2" s="80"/>
      <c r="G2" s="80"/>
      <c r="H2" s="80"/>
      <c r="I2" s="80"/>
    </row>
    <row r="3" spans="1:9" x14ac:dyDescent="0.3">
      <c r="A3" s="81" t="s">
        <v>2</v>
      </c>
      <c r="B3" s="80"/>
      <c r="C3" s="80"/>
      <c r="D3" s="80"/>
      <c r="E3" s="80"/>
      <c r="F3" s="80"/>
      <c r="G3" s="80"/>
      <c r="H3" s="80"/>
      <c r="I3" s="80"/>
    </row>
    <row r="4" spans="1:9" x14ac:dyDescent="0.3">
      <c r="A4" s="81" t="s">
        <v>3</v>
      </c>
      <c r="B4" s="80"/>
      <c r="C4" s="80"/>
      <c r="D4" s="80"/>
      <c r="E4" s="80"/>
      <c r="F4" s="80"/>
      <c r="G4" s="80"/>
      <c r="H4" s="80"/>
      <c r="I4" s="80"/>
    </row>
    <row r="5" spans="1:9" x14ac:dyDescent="0.3">
      <c r="A5" s="81" t="s">
        <v>222</v>
      </c>
      <c r="B5" s="80"/>
      <c r="C5" s="80"/>
      <c r="D5" s="80"/>
      <c r="E5" s="80"/>
      <c r="F5" s="80"/>
      <c r="G5" s="80"/>
      <c r="H5" s="80"/>
      <c r="I5" s="80"/>
    </row>
    <row r="7" spans="1:9" ht="27.6" x14ac:dyDescent="0.3">
      <c r="A7" s="132"/>
      <c r="B7" s="132" t="s">
        <v>5</v>
      </c>
      <c r="C7" s="135" t="s">
        <v>6</v>
      </c>
      <c r="D7" s="136"/>
      <c r="E7" s="137"/>
      <c r="F7" s="132" t="s">
        <v>8</v>
      </c>
      <c r="G7" s="82" t="s">
        <v>9</v>
      </c>
      <c r="H7" s="82" t="s">
        <v>11</v>
      </c>
      <c r="I7" s="82" t="s">
        <v>13</v>
      </c>
    </row>
    <row r="8" spans="1:9" ht="27.6" x14ac:dyDescent="0.3">
      <c r="A8" s="133"/>
      <c r="B8" s="133"/>
      <c r="C8" s="138" t="s">
        <v>7</v>
      </c>
      <c r="D8" s="139"/>
      <c r="E8" s="140"/>
      <c r="F8" s="133"/>
      <c r="G8" s="83" t="s">
        <v>10</v>
      </c>
      <c r="H8" s="83" t="s">
        <v>12</v>
      </c>
      <c r="I8" s="83" t="s">
        <v>14</v>
      </c>
    </row>
    <row r="9" spans="1:9" ht="27.6" x14ac:dyDescent="0.3">
      <c r="A9" s="134"/>
      <c r="B9" s="134"/>
      <c r="C9" s="85" t="s">
        <v>15</v>
      </c>
      <c r="D9" s="85" t="s">
        <v>16</v>
      </c>
      <c r="E9" s="85" t="s">
        <v>17</v>
      </c>
      <c r="F9" s="134"/>
      <c r="G9" s="84"/>
      <c r="H9" s="84"/>
      <c r="I9" s="84"/>
    </row>
    <row r="10" spans="1:9" ht="27.6" x14ac:dyDescent="0.3">
      <c r="A10" s="86">
        <v>1</v>
      </c>
      <c r="B10" s="86" t="s">
        <v>18</v>
      </c>
      <c r="C10" s="87">
        <v>30945</v>
      </c>
      <c r="D10" s="87">
        <v>30945</v>
      </c>
      <c r="E10" s="86">
        <v>0</v>
      </c>
      <c r="F10" s="87">
        <v>49935</v>
      </c>
      <c r="G10" s="86">
        <v>1.61</v>
      </c>
      <c r="H10" s="87">
        <v>3440.01</v>
      </c>
      <c r="I10" s="87">
        <v>171776.7</v>
      </c>
    </row>
    <row r="11" spans="1:9" ht="27.6" x14ac:dyDescent="0.3">
      <c r="A11" s="86">
        <v>2</v>
      </c>
      <c r="B11" s="86" t="s">
        <v>19</v>
      </c>
      <c r="C11" s="87">
        <v>1219.5</v>
      </c>
      <c r="D11" s="87">
        <v>1219.5</v>
      </c>
      <c r="E11" s="86">
        <v>0</v>
      </c>
      <c r="F11" s="87">
        <v>13386.82</v>
      </c>
      <c r="G11" s="86">
        <v>10.98</v>
      </c>
      <c r="H11" s="87">
        <v>5741.68</v>
      </c>
      <c r="I11" s="87">
        <v>76862.850000000006</v>
      </c>
    </row>
    <row r="12" spans="1:9" ht="41.4" x14ac:dyDescent="0.3">
      <c r="A12" s="86">
        <v>3</v>
      </c>
      <c r="B12" s="86" t="s">
        <v>20</v>
      </c>
      <c r="C12" s="87">
        <v>4971</v>
      </c>
      <c r="D12" s="87">
        <v>4971</v>
      </c>
      <c r="E12" s="86">
        <v>0</v>
      </c>
      <c r="F12" s="87">
        <v>33373.54</v>
      </c>
      <c r="G12" s="86">
        <v>6.71</v>
      </c>
      <c r="H12" s="87">
        <v>3944</v>
      </c>
      <c r="I12" s="87">
        <v>131625.4</v>
      </c>
    </row>
    <row r="13" spans="1:9" ht="27.6" x14ac:dyDescent="0.3">
      <c r="A13" s="86">
        <v>4</v>
      </c>
      <c r="B13" s="86" t="s">
        <v>206</v>
      </c>
      <c r="C13" s="87">
        <v>166545</v>
      </c>
      <c r="D13" s="87">
        <v>166545</v>
      </c>
      <c r="E13" s="86">
        <v>0</v>
      </c>
      <c r="F13" s="87">
        <v>518225</v>
      </c>
      <c r="G13" s="86">
        <v>3.11</v>
      </c>
      <c r="H13" s="87">
        <v>5418.85</v>
      </c>
      <c r="I13" s="87">
        <v>2808182.8</v>
      </c>
    </row>
    <row r="14" spans="1:9" x14ac:dyDescent="0.3">
      <c r="A14" s="86">
        <v>5</v>
      </c>
      <c r="B14" s="86" t="s">
        <v>21</v>
      </c>
      <c r="C14" s="87">
        <v>14778.15</v>
      </c>
      <c r="D14" s="87">
        <v>14749.15</v>
      </c>
      <c r="E14" s="86">
        <v>29</v>
      </c>
      <c r="F14" s="87">
        <v>14994.28</v>
      </c>
      <c r="G14" s="86">
        <v>1.02</v>
      </c>
      <c r="H14" s="87">
        <v>4876.21</v>
      </c>
      <c r="I14" s="87">
        <v>73115.27</v>
      </c>
    </row>
    <row r="15" spans="1:9" x14ac:dyDescent="0.3">
      <c r="A15" s="86">
        <v>6</v>
      </c>
      <c r="B15" s="86" t="s">
        <v>202</v>
      </c>
      <c r="C15" s="87">
        <v>12451.5</v>
      </c>
      <c r="D15" s="87">
        <v>12451.5</v>
      </c>
      <c r="E15" s="86">
        <v>0</v>
      </c>
      <c r="F15" s="87">
        <v>50415.92</v>
      </c>
      <c r="G15" s="86">
        <v>4.05</v>
      </c>
      <c r="H15" s="87">
        <v>6142.86</v>
      </c>
      <c r="I15" s="87">
        <v>309698.07</v>
      </c>
    </row>
    <row r="16" spans="1:9" x14ac:dyDescent="0.3">
      <c r="A16" s="86">
        <v>7</v>
      </c>
      <c r="B16" s="86" t="s">
        <v>203</v>
      </c>
      <c r="C16" s="87">
        <v>687363.52</v>
      </c>
      <c r="D16" s="87">
        <v>687363.52</v>
      </c>
      <c r="E16" s="86">
        <v>0</v>
      </c>
      <c r="F16" s="87">
        <v>1389963.42</v>
      </c>
      <c r="G16" s="86">
        <v>2.02</v>
      </c>
      <c r="H16" s="87">
        <v>5176.8</v>
      </c>
      <c r="I16" s="87">
        <v>7195558.2300000004</v>
      </c>
    </row>
    <row r="17" spans="1:9" ht="27.6" x14ac:dyDescent="0.3">
      <c r="A17" s="86">
        <v>8</v>
      </c>
      <c r="B17" s="86" t="s">
        <v>22</v>
      </c>
      <c r="C17" s="87">
        <v>228422</v>
      </c>
      <c r="D17" s="87">
        <v>213673</v>
      </c>
      <c r="E17" s="87">
        <v>14749</v>
      </c>
      <c r="F17" s="87">
        <v>1399229.9</v>
      </c>
      <c r="G17" s="86">
        <v>6.55</v>
      </c>
      <c r="H17" s="87">
        <v>5430.26</v>
      </c>
      <c r="I17" s="87">
        <v>7598183.2300000004</v>
      </c>
    </row>
    <row r="18" spans="1:9" ht="27.6" x14ac:dyDescent="0.3">
      <c r="A18" s="86">
        <v>9</v>
      </c>
      <c r="B18" s="86" t="s">
        <v>207</v>
      </c>
      <c r="C18" s="87">
        <v>3165</v>
      </c>
      <c r="D18" s="87">
        <v>3165</v>
      </c>
      <c r="E18" s="86">
        <v>0</v>
      </c>
      <c r="F18" s="87">
        <v>4055.76</v>
      </c>
      <c r="G18" s="86">
        <v>1.28</v>
      </c>
      <c r="H18" s="87">
        <v>7284.71</v>
      </c>
      <c r="I18" s="87">
        <v>29545.05</v>
      </c>
    </row>
    <row r="19" spans="1:9" x14ac:dyDescent="0.3">
      <c r="A19" s="86">
        <v>10</v>
      </c>
      <c r="B19" s="86" t="s">
        <v>208</v>
      </c>
      <c r="C19" s="87">
        <v>115629.13</v>
      </c>
      <c r="D19" s="87">
        <v>94137.84</v>
      </c>
      <c r="E19" s="87">
        <v>21491.29</v>
      </c>
      <c r="F19" s="87">
        <v>255329.29</v>
      </c>
      <c r="G19" s="86">
        <v>2.71</v>
      </c>
      <c r="H19" s="87">
        <v>6515.13</v>
      </c>
      <c r="I19" s="87">
        <v>1663502.82</v>
      </c>
    </row>
    <row r="20" spans="1:9" ht="27.6" x14ac:dyDescent="0.3">
      <c r="A20" s="86">
        <v>11</v>
      </c>
      <c r="B20" s="86" t="s">
        <v>23</v>
      </c>
      <c r="C20" s="87">
        <v>324864</v>
      </c>
      <c r="D20" s="87">
        <v>324864</v>
      </c>
      <c r="E20" s="86">
        <v>0</v>
      </c>
      <c r="F20" s="87">
        <v>1773087.6</v>
      </c>
      <c r="G20" s="86">
        <v>5.46</v>
      </c>
      <c r="H20" s="87">
        <v>5368.48</v>
      </c>
      <c r="I20" s="87">
        <v>9518789.7799999993</v>
      </c>
    </row>
    <row r="21" spans="1:9" x14ac:dyDescent="0.3">
      <c r="A21" s="86">
        <v>12</v>
      </c>
      <c r="B21" s="86" t="s">
        <v>24</v>
      </c>
      <c r="C21" s="87">
        <v>510205.68</v>
      </c>
      <c r="D21" s="87">
        <v>510205.68</v>
      </c>
      <c r="E21" s="86">
        <v>0</v>
      </c>
      <c r="F21" s="87">
        <v>1440357.58</v>
      </c>
      <c r="G21" s="86">
        <v>2.82</v>
      </c>
      <c r="H21" s="87">
        <v>5248.79</v>
      </c>
      <c r="I21" s="87">
        <v>7560141.6600000001</v>
      </c>
    </row>
    <row r="22" spans="1:9" x14ac:dyDescent="0.3">
      <c r="A22" s="86">
        <v>13</v>
      </c>
      <c r="B22" s="86" t="s">
        <v>25</v>
      </c>
      <c r="C22" s="87">
        <v>213606.38</v>
      </c>
      <c r="D22" s="87">
        <v>212750.34</v>
      </c>
      <c r="E22" s="86">
        <v>856.04</v>
      </c>
      <c r="F22" s="87">
        <v>658639.48</v>
      </c>
      <c r="G22" s="86">
        <v>3.1</v>
      </c>
      <c r="H22" s="87">
        <v>5798.48</v>
      </c>
      <c r="I22" s="87">
        <v>3819105.92</v>
      </c>
    </row>
    <row r="23" spans="1:9" x14ac:dyDescent="0.3">
      <c r="A23" s="86">
        <v>14</v>
      </c>
      <c r="B23" s="86" t="s">
        <v>26</v>
      </c>
      <c r="C23" s="87">
        <v>533641.77</v>
      </c>
      <c r="D23" s="87">
        <v>533641.77</v>
      </c>
      <c r="E23" s="86">
        <v>0</v>
      </c>
      <c r="F23" s="87">
        <v>3882103.78</v>
      </c>
      <c r="G23" s="86">
        <v>7.27</v>
      </c>
      <c r="H23" s="87">
        <v>6554.27</v>
      </c>
      <c r="I23" s="87">
        <v>25444366.27</v>
      </c>
    </row>
    <row r="24" spans="1:9" x14ac:dyDescent="0.3">
      <c r="A24" s="86">
        <v>15</v>
      </c>
      <c r="B24" s="86" t="s">
        <v>209</v>
      </c>
      <c r="C24" s="87">
        <v>474819.34</v>
      </c>
      <c r="D24" s="87">
        <v>474819.34</v>
      </c>
      <c r="E24" s="86">
        <v>0</v>
      </c>
      <c r="F24" s="87">
        <v>1721190.26</v>
      </c>
      <c r="G24" s="86">
        <v>3.62</v>
      </c>
      <c r="H24" s="87">
        <v>7606.18</v>
      </c>
      <c r="I24" s="87">
        <v>13091688.92</v>
      </c>
    </row>
    <row r="25" spans="1:9" ht="27.6" x14ac:dyDescent="0.3">
      <c r="A25" s="86">
        <v>16</v>
      </c>
      <c r="B25" s="86" t="s">
        <v>27</v>
      </c>
      <c r="C25" s="87">
        <v>466270</v>
      </c>
      <c r="D25" s="87">
        <v>453407</v>
      </c>
      <c r="E25" s="87">
        <v>12863</v>
      </c>
      <c r="F25" s="87">
        <v>2054936.7</v>
      </c>
      <c r="G25" s="86">
        <v>4.53</v>
      </c>
      <c r="H25" s="87">
        <v>6106.93</v>
      </c>
      <c r="I25" s="87">
        <v>12549363.02</v>
      </c>
    </row>
    <row r="26" spans="1:9" x14ac:dyDescent="0.3">
      <c r="A26" s="86">
        <v>17</v>
      </c>
      <c r="B26" s="86" t="s">
        <v>210</v>
      </c>
      <c r="C26" s="87">
        <v>40167.5</v>
      </c>
      <c r="D26" s="87">
        <v>40167.5</v>
      </c>
      <c r="E26" s="86">
        <v>0</v>
      </c>
      <c r="F26" s="87">
        <v>228092.6</v>
      </c>
      <c r="G26" s="86">
        <v>5.68</v>
      </c>
      <c r="H26" s="87">
        <v>5181.03</v>
      </c>
      <c r="I26" s="87">
        <v>1181753.47</v>
      </c>
    </row>
    <row r="27" spans="1:9" x14ac:dyDescent="0.3">
      <c r="A27" s="86">
        <v>18</v>
      </c>
      <c r="B27" s="86" t="s">
        <v>28</v>
      </c>
      <c r="C27" s="87">
        <v>25471.05</v>
      </c>
      <c r="D27" s="87">
        <v>25471.05</v>
      </c>
      <c r="E27" s="86">
        <v>0</v>
      </c>
      <c r="F27" s="87">
        <v>130595.23</v>
      </c>
      <c r="G27" s="86">
        <v>5.13</v>
      </c>
      <c r="H27" s="87">
        <v>5302.59</v>
      </c>
      <c r="I27" s="87">
        <v>692492.46</v>
      </c>
    </row>
    <row r="28" spans="1:9" ht="27.6" x14ac:dyDescent="0.3">
      <c r="A28" s="86">
        <v>19</v>
      </c>
      <c r="B28" s="86" t="s">
        <v>29</v>
      </c>
      <c r="C28" s="87">
        <v>31835</v>
      </c>
      <c r="D28" s="87">
        <v>30165.5</v>
      </c>
      <c r="E28" s="87">
        <v>1669.5</v>
      </c>
      <c r="F28" s="87">
        <v>31280.83</v>
      </c>
      <c r="G28" s="86">
        <v>1.04</v>
      </c>
      <c r="H28" s="87">
        <v>5911.36</v>
      </c>
      <c r="I28" s="87">
        <v>184912.26</v>
      </c>
    </row>
    <row r="29" spans="1:9" x14ac:dyDescent="0.3">
      <c r="A29" s="86">
        <v>20</v>
      </c>
      <c r="B29" s="86" t="s">
        <v>30</v>
      </c>
      <c r="C29" s="87">
        <v>514586.24</v>
      </c>
      <c r="D29" s="87">
        <v>508643.99</v>
      </c>
      <c r="E29" s="87">
        <v>5942.25</v>
      </c>
      <c r="F29" s="87">
        <v>771280.94</v>
      </c>
      <c r="G29" s="86">
        <v>1.52</v>
      </c>
      <c r="H29" s="87">
        <v>4910.9799999999996</v>
      </c>
      <c r="I29" s="87">
        <v>3787748.49</v>
      </c>
    </row>
    <row r="30" spans="1:9" x14ac:dyDescent="0.3">
      <c r="A30" s="86">
        <v>21</v>
      </c>
      <c r="B30" s="86" t="s">
        <v>31</v>
      </c>
      <c r="C30" s="87">
        <v>504504.08</v>
      </c>
      <c r="D30" s="87">
        <v>504134.08</v>
      </c>
      <c r="E30" s="86">
        <v>370</v>
      </c>
      <c r="F30" s="87">
        <v>1094973.45</v>
      </c>
      <c r="G30" s="86">
        <v>2.17</v>
      </c>
      <c r="H30" s="87">
        <v>6279.18</v>
      </c>
      <c r="I30" s="87">
        <v>6875531.75</v>
      </c>
    </row>
    <row r="31" spans="1:9" x14ac:dyDescent="0.3">
      <c r="A31" s="86">
        <v>22</v>
      </c>
      <c r="B31" s="86" t="s">
        <v>32</v>
      </c>
      <c r="C31" s="87">
        <v>72539.55</v>
      </c>
      <c r="D31" s="87">
        <v>69039.55</v>
      </c>
      <c r="E31" s="87">
        <v>3500</v>
      </c>
      <c r="F31" s="87">
        <v>260306.19</v>
      </c>
      <c r="G31" s="86">
        <v>3.77</v>
      </c>
      <c r="H31" s="87">
        <v>4756.7700000000004</v>
      </c>
      <c r="I31" s="87">
        <v>1238215.71</v>
      </c>
    </row>
    <row r="32" spans="1:9" ht="27.6" x14ac:dyDescent="0.3">
      <c r="A32" s="86">
        <v>23</v>
      </c>
      <c r="B32" s="86" t="s">
        <v>211</v>
      </c>
      <c r="C32" s="87">
        <v>53060</v>
      </c>
      <c r="D32" s="87">
        <v>53060</v>
      </c>
      <c r="E32" s="86">
        <v>0</v>
      </c>
      <c r="F32" s="87">
        <v>60127.55</v>
      </c>
      <c r="G32" s="86">
        <v>1.1299999999999999</v>
      </c>
      <c r="H32" s="87">
        <v>6739.34</v>
      </c>
      <c r="I32" s="87">
        <v>405219.83</v>
      </c>
    </row>
    <row r="33" spans="1:9" ht="27.6" x14ac:dyDescent="0.3">
      <c r="A33" s="86">
        <v>24</v>
      </c>
      <c r="B33" s="86" t="s">
        <v>33</v>
      </c>
      <c r="C33" s="87">
        <v>138052.72</v>
      </c>
      <c r="D33" s="87">
        <v>123809.72</v>
      </c>
      <c r="E33" s="87">
        <v>14243</v>
      </c>
      <c r="F33" s="87">
        <v>172513.55</v>
      </c>
      <c r="G33" s="86">
        <v>1.39</v>
      </c>
      <c r="H33" s="87">
        <v>6756.14</v>
      </c>
      <c r="I33" s="87">
        <v>1165525.43</v>
      </c>
    </row>
    <row r="34" spans="1:9" x14ac:dyDescent="0.3">
      <c r="A34" s="86">
        <v>25</v>
      </c>
      <c r="B34" s="86" t="s">
        <v>204</v>
      </c>
      <c r="C34" s="87">
        <v>291545.43</v>
      </c>
      <c r="D34" s="87">
        <v>290798.52</v>
      </c>
      <c r="E34" s="86">
        <v>746.91</v>
      </c>
      <c r="F34" s="87">
        <v>3368657.4</v>
      </c>
      <c r="G34" s="86">
        <v>11.58</v>
      </c>
      <c r="H34" s="87">
        <v>4572.8900000000003</v>
      </c>
      <c r="I34" s="87">
        <v>15404512.529999999</v>
      </c>
    </row>
    <row r="35" spans="1:9" x14ac:dyDescent="0.3">
      <c r="A35" s="86">
        <v>26</v>
      </c>
      <c r="B35" s="86" t="s">
        <v>34</v>
      </c>
      <c r="C35" s="87">
        <v>15664</v>
      </c>
      <c r="D35" s="87">
        <v>14771</v>
      </c>
      <c r="E35" s="86">
        <v>893</v>
      </c>
      <c r="F35" s="87">
        <v>171694.19</v>
      </c>
      <c r="G35" s="86">
        <v>11.62</v>
      </c>
      <c r="H35" s="87">
        <v>5370.19</v>
      </c>
      <c r="I35" s="87">
        <v>922029.8</v>
      </c>
    </row>
    <row r="36" spans="1:9" x14ac:dyDescent="0.3">
      <c r="A36" s="86">
        <v>27</v>
      </c>
      <c r="B36" s="86" t="s">
        <v>212</v>
      </c>
      <c r="C36" s="87">
        <v>89869</v>
      </c>
      <c r="D36" s="87">
        <v>88603</v>
      </c>
      <c r="E36" s="87">
        <v>1266</v>
      </c>
      <c r="F36" s="87">
        <v>176990.16</v>
      </c>
      <c r="G36" s="86">
        <v>2</v>
      </c>
      <c r="H36" s="87">
        <v>4509.9399999999996</v>
      </c>
      <c r="I36" s="87">
        <v>798215.35</v>
      </c>
    </row>
    <row r="37" spans="1:9" ht="27.6" x14ac:dyDescent="0.3">
      <c r="A37" s="86">
        <v>28</v>
      </c>
      <c r="B37" s="86" t="s">
        <v>213</v>
      </c>
      <c r="C37" s="87">
        <v>99086.28</v>
      </c>
      <c r="D37" s="87">
        <v>93988.76</v>
      </c>
      <c r="E37" s="87">
        <v>5097.5200000000004</v>
      </c>
      <c r="F37" s="87">
        <v>276735.8</v>
      </c>
      <c r="G37" s="86">
        <v>2.94</v>
      </c>
      <c r="H37" s="87">
        <v>5239.46</v>
      </c>
      <c r="I37" s="87">
        <v>1449944.81</v>
      </c>
    </row>
    <row r="38" spans="1:9" x14ac:dyDescent="0.3">
      <c r="A38" s="86">
        <v>29</v>
      </c>
      <c r="B38" s="86" t="s">
        <v>35</v>
      </c>
      <c r="C38" s="87">
        <v>119668</v>
      </c>
      <c r="D38" s="87">
        <v>119668</v>
      </c>
      <c r="E38" s="86">
        <v>0</v>
      </c>
      <c r="F38" s="87">
        <v>355372.67</v>
      </c>
      <c r="G38" s="86">
        <v>2.97</v>
      </c>
      <c r="H38" s="87">
        <v>6172.77</v>
      </c>
      <c r="I38" s="87">
        <v>2193635.34</v>
      </c>
    </row>
    <row r="39" spans="1:9" x14ac:dyDescent="0.3">
      <c r="A39" s="86">
        <v>30</v>
      </c>
      <c r="B39" s="86" t="s">
        <v>36</v>
      </c>
      <c r="C39" s="87">
        <v>598868.87</v>
      </c>
      <c r="D39" s="87">
        <v>595613.87</v>
      </c>
      <c r="E39" s="87">
        <v>3255</v>
      </c>
      <c r="F39" s="87">
        <v>1356201.63</v>
      </c>
      <c r="G39" s="86">
        <v>2.2799999999999998</v>
      </c>
      <c r="H39" s="87">
        <v>4490.3999999999996</v>
      </c>
      <c r="I39" s="87">
        <v>6089894.54</v>
      </c>
    </row>
    <row r="40" spans="1:9" x14ac:dyDescent="0.3">
      <c r="A40" s="86">
        <v>31</v>
      </c>
      <c r="B40" s="86" t="s">
        <v>214</v>
      </c>
      <c r="C40" s="87">
        <v>110020.6</v>
      </c>
      <c r="D40" s="87">
        <v>110020.6</v>
      </c>
      <c r="E40" s="86">
        <v>0</v>
      </c>
      <c r="F40" s="87">
        <v>167033.56</v>
      </c>
      <c r="G40" s="86">
        <v>1.52</v>
      </c>
      <c r="H40" s="87">
        <v>5421.31</v>
      </c>
      <c r="I40" s="87">
        <v>905541.24</v>
      </c>
    </row>
    <row r="41" spans="1:9" x14ac:dyDescent="0.3">
      <c r="A41" s="86">
        <v>32</v>
      </c>
      <c r="B41" s="86" t="s">
        <v>37</v>
      </c>
      <c r="C41" s="87">
        <v>161261.92000000001</v>
      </c>
      <c r="D41" s="87">
        <v>161171.92000000001</v>
      </c>
      <c r="E41" s="86">
        <v>90</v>
      </c>
      <c r="F41" s="87">
        <v>445428.16</v>
      </c>
      <c r="G41" s="86">
        <v>2.76</v>
      </c>
      <c r="H41" s="87">
        <v>6675.89</v>
      </c>
      <c r="I41" s="87">
        <v>2973627.54</v>
      </c>
    </row>
    <row r="42" spans="1:9" x14ac:dyDescent="0.3">
      <c r="A42" s="130" t="s">
        <v>38</v>
      </c>
      <c r="B42" s="131"/>
      <c r="C42" s="88">
        <v>6655097.21</v>
      </c>
      <c r="D42" s="88">
        <v>6568035.7000000002</v>
      </c>
      <c r="E42" s="88">
        <v>87061.51</v>
      </c>
      <c r="F42" s="88">
        <v>24326508.239999998</v>
      </c>
      <c r="G42" s="89">
        <v>3.7</v>
      </c>
      <c r="H42" s="88">
        <v>5685.58</v>
      </c>
      <c r="I42" s="88">
        <v>138310306.50999999</v>
      </c>
    </row>
  </sheetData>
  <mergeCells count="6">
    <mergeCell ref="F7:F9"/>
    <mergeCell ref="A42:B42"/>
    <mergeCell ref="A7:A9"/>
    <mergeCell ref="B7:B9"/>
    <mergeCell ref="C7:E7"/>
    <mergeCell ref="C8:E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selection activeCell="K28" sqref="K28"/>
    </sheetView>
  </sheetViews>
  <sheetFormatPr defaultRowHeight="14.4" x14ac:dyDescent="0.3"/>
  <cols>
    <col min="3" max="4" width="10" bestFit="1" customWidth="1"/>
    <col min="6" max="6" width="11.44140625" bestFit="1" customWidth="1"/>
    <col min="9" max="9" width="12.44140625" bestFit="1" customWidth="1"/>
  </cols>
  <sheetData>
    <row r="1" spans="1:9" x14ac:dyDescent="0.3">
      <c r="A1" s="91" t="s">
        <v>0</v>
      </c>
      <c r="B1" s="90"/>
      <c r="C1" s="90"/>
      <c r="D1" s="90"/>
      <c r="E1" s="90"/>
      <c r="F1" s="90"/>
      <c r="G1" s="90"/>
      <c r="H1" s="90"/>
      <c r="I1" s="90"/>
    </row>
    <row r="2" spans="1:9" x14ac:dyDescent="0.3">
      <c r="A2" s="91" t="s">
        <v>1</v>
      </c>
      <c r="B2" s="90"/>
      <c r="C2" s="90"/>
      <c r="D2" s="90"/>
      <c r="E2" s="90"/>
      <c r="F2" s="90"/>
      <c r="G2" s="90"/>
      <c r="H2" s="90"/>
      <c r="I2" s="90"/>
    </row>
    <row r="3" spans="1:9" x14ac:dyDescent="0.3">
      <c r="A3" s="91" t="s">
        <v>2</v>
      </c>
      <c r="B3" s="90"/>
      <c r="C3" s="90"/>
      <c r="D3" s="90"/>
      <c r="E3" s="90"/>
      <c r="F3" s="90"/>
      <c r="G3" s="90"/>
      <c r="H3" s="90"/>
      <c r="I3" s="90"/>
    </row>
    <row r="4" spans="1:9" x14ac:dyDescent="0.3">
      <c r="A4" s="91" t="s">
        <v>3</v>
      </c>
      <c r="B4" s="90"/>
      <c r="C4" s="90"/>
      <c r="D4" s="90"/>
      <c r="E4" s="90"/>
      <c r="F4" s="90"/>
      <c r="G4" s="90"/>
      <c r="H4" s="90"/>
      <c r="I4" s="90"/>
    </row>
    <row r="5" spans="1:9" x14ac:dyDescent="0.3">
      <c r="A5" s="91" t="s">
        <v>223</v>
      </c>
      <c r="B5" s="90"/>
      <c r="C5" s="90"/>
      <c r="D5" s="90"/>
      <c r="E5" s="90"/>
      <c r="F5" s="90"/>
      <c r="G5" s="90"/>
      <c r="H5" s="90"/>
      <c r="I5" s="90"/>
    </row>
    <row r="7" spans="1:9" ht="27.6" x14ac:dyDescent="0.3">
      <c r="A7" s="132"/>
      <c r="B7" s="132" t="s">
        <v>5</v>
      </c>
      <c r="C7" s="135" t="s">
        <v>6</v>
      </c>
      <c r="D7" s="136"/>
      <c r="E7" s="137"/>
      <c r="F7" s="132" t="s">
        <v>8</v>
      </c>
      <c r="G7" s="92" t="s">
        <v>9</v>
      </c>
      <c r="H7" s="92" t="s">
        <v>11</v>
      </c>
      <c r="I7" s="92" t="s">
        <v>13</v>
      </c>
    </row>
    <row r="8" spans="1:9" ht="27.6" x14ac:dyDescent="0.3">
      <c r="A8" s="133"/>
      <c r="B8" s="133"/>
      <c r="C8" s="138" t="s">
        <v>7</v>
      </c>
      <c r="D8" s="139"/>
      <c r="E8" s="140"/>
      <c r="F8" s="133"/>
      <c r="G8" s="93" t="s">
        <v>10</v>
      </c>
      <c r="H8" s="93" t="s">
        <v>12</v>
      </c>
      <c r="I8" s="93" t="s">
        <v>14</v>
      </c>
    </row>
    <row r="9" spans="1:9" ht="27.6" x14ac:dyDescent="0.3">
      <c r="A9" s="134"/>
      <c r="B9" s="134"/>
      <c r="C9" s="95" t="s">
        <v>15</v>
      </c>
      <c r="D9" s="95" t="s">
        <v>16</v>
      </c>
      <c r="E9" s="95" t="s">
        <v>17</v>
      </c>
      <c r="F9" s="134"/>
      <c r="G9" s="94"/>
      <c r="H9" s="94"/>
      <c r="I9" s="94"/>
    </row>
    <row r="10" spans="1:9" ht="41.4" x14ac:dyDescent="0.3">
      <c r="A10" s="96">
        <v>1</v>
      </c>
      <c r="B10" s="96" t="s">
        <v>20</v>
      </c>
      <c r="C10" s="97">
        <v>1825.2</v>
      </c>
      <c r="D10" s="97">
        <v>1492.7</v>
      </c>
      <c r="E10" s="96">
        <v>0</v>
      </c>
      <c r="F10" s="97">
        <v>10955.98</v>
      </c>
      <c r="G10" s="96">
        <v>7.34</v>
      </c>
      <c r="H10" s="97">
        <v>7339.17</v>
      </c>
      <c r="I10" s="97">
        <v>80407.839999999997</v>
      </c>
    </row>
    <row r="11" spans="1:9" ht="27.6" x14ac:dyDescent="0.3">
      <c r="A11" s="96">
        <v>2</v>
      </c>
      <c r="B11" s="96" t="s">
        <v>206</v>
      </c>
      <c r="C11" s="97">
        <v>1087.5</v>
      </c>
      <c r="D11" s="97">
        <v>1082</v>
      </c>
      <c r="E11" s="96">
        <v>0</v>
      </c>
      <c r="F11" s="97">
        <v>12718.15</v>
      </c>
      <c r="G11" s="96">
        <v>11.75</v>
      </c>
      <c r="H11" s="97">
        <v>7393.03</v>
      </c>
      <c r="I11" s="97">
        <v>94025.61</v>
      </c>
    </row>
    <row r="12" spans="1:9" x14ac:dyDescent="0.3">
      <c r="A12" s="96">
        <v>3</v>
      </c>
      <c r="B12" s="96" t="s">
        <v>202</v>
      </c>
      <c r="C12" s="97">
        <v>4521.42</v>
      </c>
      <c r="D12" s="97">
        <v>4429.1000000000004</v>
      </c>
      <c r="E12" s="96">
        <v>0</v>
      </c>
      <c r="F12" s="97">
        <v>62658.19</v>
      </c>
      <c r="G12" s="96">
        <v>14.15</v>
      </c>
      <c r="H12" s="97">
        <v>4971.2700000000004</v>
      </c>
      <c r="I12" s="97">
        <v>311490.86</v>
      </c>
    </row>
    <row r="13" spans="1:9" x14ac:dyDescent="0.3">
      <c r="A13" s="96">
        <v>4</v>
      </c>
      <c r="B13" s="96" t="s">
        <v>203</v>
      </c>
      <c r="C13" s="97">
        <v>38771.480000000003</v>
      </c>
      <c r="D13" s="97">
        <v>37087.980000000003</v>
      </c>
      <c r="E13" s="96">
        <v>0</v>
      </c>
      <c r="F13" s="97">
        <v>277835.28000000003</v>
      </c>
      <c r="G13" s="96">
        <v>7.49</v>
      </c>
      <c r="H13" s="97">
        <v>5370.92</v>
      </c>
      <c r="I13" s="97">
        <v>1492231.78</v>
      </c>
    </row>
    <row r="14" spans="1:9" x14ac:dyDescent="0.3">
      <c r="A14" s="96">
        <v>5</v>
      </c>
      <c r="B14" s="96" t="s">
        <v>208</v>
      </c>
      <c r="C14" s="96">
        <v>369.06</v>
      </c>
      <c r="D14" s="96">
        <v>369.06</v>
      </c>
      <c r="E14" s="96">
        <v>0</v>
      </c>
      <c r="F14" s="97">
        <v>1475.43</v>
      </c>
      <c r="G14" s="96">
        <v>4</v>
      </c>
      <c r="H14" s="97">
        <v>4687.87</v>
      </c>
      <c r="I14" s="97">
        <v>6916.63</v>
      </c>
    </row>
    <row r="15" spans="1:9" x14ac:dyDescent="0.3">
      <c r="A15" s="96">
        <v>6</v>
      </c>
      <c r="B15" s="96" t="s">
        <v>24</v>
      </c>
      <c r="C15" s="97">
        <v>27186.3</v>
      </c>
      <c r="D15" s="97">
        <v>26293.4</v>
      </c>
      <c r="E15" s="96">
        <v>0</v>
      </c>
      <c r="F15" s="97">
        <v>404921.88</v>
      </c>
      <c r="G15" s="96">
        <v>15.4</v>
      </c>
      <c r="H15" s="97">
        <v>8653.11</v>
      </c>
      <c r="I15" s="97">
        <v>3503832.26</v>
      </c>
    </row>
    <row r="16" spans="1:9" x14ac:dyDescent="0.3">
      <c r="A16" s="96">
        <v>7</v>
      </c>
      <c r="B16" s="96" t="s">
        <v>25</v>
      </c>
      <c r="C16" s="96">
        <v>70.25</v>
      </c>
      <c r="D16" s="96">
        <v>66.5</v>
      </c>
      <c r="E16" s="96">
        <v>0</v>
      </c>
      <c r="F16" s="96">
        <v>442.13</v>
      </c>
      <c r="G16" s="96">
        <v>6.65</v>
      </c>
      <c r="H16" s="97">
        <v>5022.04</v>
      </c>
      <c r="I16" s="97">
        <v>2220.39</v>
      </c>
    </row>
    <row r="17" spans="1:9" x14ac:dyDescent="0.3">
      <c r="A17" s="96">
        <v>8</v>
      </c>
      <c r="B17" s="96" t="s">
        <v>26</v>
      </c>
      <c r="C17" s="97">
        <v>8627.84</v>
      </c>
      <c r="D17" s="97">
        <v>8556.84</v>
      </c>
      <c r="E17" s="96">
        <v>0</v>
      </c>
      <c r="F17" s="97">
        <v>128073.23</v>
      </c>
      <c r="G17" s="96">
        <v>14.97</v>
      </c>
      <c r="H17" s="97">
        <v>4647.2700000000004</v>
      </c>
      <c r="I17" s="97">
        <v>595190.4</v>
      </c>
    </row>
    <row r="18" spans="1:9" x14ac:dyDescent="0.3">
      <c r="A18" s="96">
        <v>9</v>
      </c>
      <c r="B18" s="96" t="s">
        <v>209</v>
      </c>
      <c r="C18" s="96">
        <v>370</v>
      </c>
      <c r="D18" s="96">
        <v>370</v>
      </c>
      <c r="E18" s="96">
        <v>0</v>
      </c>
      <c r="F18" s="97">
        <v>2951.17</v>
      </c>
      <c r="G18" s="96">
        <v>7.98</v>
      </c>
      <c r="H18" s="97">
        <v>6672.34</v>
      </c>
      <c r="I18" s="97">
        <v>19691.2</v>
      </c>
    </row>
    <row r="19" spans="1:9" ht="27.6" x14ac:dyDescent="0.3">
      <c r="A19" s="96">
        <v>10</v>
      </c>
      <c r="B19" s="96" t="s">
        <v>27</v>
      </c>
      <c r="C19" s="97">
        <v>26274.03</v>
      </c>
      <c r="D19" s="97">
        <v>25951.03</v>
      </c>
      <c r="E19" s="96">
        <v>0</v>
      </c>
      <c r="F19" s="97">
        <v>200240.98</v>
      </c>
      <c r="G19" s="96">
        <v>7.72</v>
      </c>
      <c r="H19" s="97">
        <v>7579.36</v>
      </c>
      <c r="I19" s="97">
        <v>1517698.43</v>
      </c>
    </row>
    <row r="20" spans="1:9" x14ac:dyDescent="0.3">
      <c r="A20" s="96">
        <v>11</v>
      </c>
      <c r="B20" s="96" t="s">
        <v>210</v>
      </c>
      <c r="C20" s="96">
        <v>345</v>
      </c>
      <c r="D20" s="96">
        <v>345</v>
      </c>
      <c r="E20" s="96">
        <v>0</v>
      </c>
      <c r="F20" s="97">
        <v>5167</v>
      </c>
      <c r="G20" s="96">
        <v>14.98</v>
      </c>
      <c r="H20" s="97">
        <v>3696.22</v>
      </c>
      <c r="I20" s="97">
        <v>19098.36</v>
      </c>
    </row>
    <row r="21" spans="1:9" x14ac:dyDescent="0.3">
      <c r="A21" s="96">
        <v>12</v>
      </c>
      <c r="B21" s="96" t="s">
        <v>28</v>
      </c>
      <c r="C21" s="97">
        <v>29567.65</v>
      </c>
      <c r="D21" s="97">
        <v>27886.15</v>
      </c>
      <c r="E21" s="96">
        <v>0</v>
      </c>
      <c r="F21" s="97">
        <v>352273.94</v>
      </c>
      <c r="G21" s="96">
        <v>12.63</v>
      </c>
      <c r="H21" s="97">
        <v>4866.93</v>
      </c>
      <c r="I21" s="97">
        <v>1714491.36</v>
      </c>
    </row>
    <row r="22" spans="1:9" x14ac:dyDescent="0.3">
      <c r="A22" s="96">
        <v>13</v>
      </c>
      <c r="B22" s="96" t="s">
        <v>30</v>
      </c>
      <c r="C22" s="97">
        <v>19494.150000000001</v>
      </c>
      <c r="D22" s="97">
        <v>19101.7</v>
      </c>
      <c r="E22" s="96">
        <v>0</v>
      </c>
      <c r="F22" s="97">
        <v>209760.5</v>
      </c>
      <c r="G22" s="96">
        <v>10.98</v>
      </c>
      <c r="H22" s="97">
        <v>6207.51</v>
      </c>
      <c r="I22" s="97">
        <v>1302089.9099999999</v>
      </c>
    </row>
    <row r="23" spans="1:9" x14ac:dyDescent="0.3">
      <c r="A23" s="96">
        <v>14</v>
      </c>
      <c r="B23" s="96" t="s">
        <v>31</v>
      </c>
      <c r="C23" s="96">
        <v>56.7</v>
      </c>
      <c r="D23" s="96">
        <v>55.75</v>
      </c>
      <c r="E23" s="96">
        <v>0</v>
      </c>
      <c r="F23" s="96">
        <v>543.49</v>
      </c>
      <c r="G23" s="96">
        <v>9.75</v>
      </c>
      <c r="H23" s="97">
        <v>4497.8</v>
      </c>
      <c r="I23" s="97">
        <v>2444.5100000000002</v>
      </c>
    </row>
    <row r="24" spans="1:9" x14ac:dyDescent="0.3">
      <c r="A24" s="96">
        <v>15</v>
      </c>
      <c r="B24" s="96" t="s">
        <v>32</v>
      </c>
      <c r="C24" s="96">
        <v>77</v>
      </c>
      <c r="D24" s="96">
        <v>77</v>
      </c>
      <c r="E24" s="96">
        <v>0</v>
      </c>
      <c r="F24" s="96">
        <v>377.9</v>
      </c>
      <c r="G24" s="96">
        <v>4.91</v>
      </c>
      <c r="H24" s="97">
        <v>5352.25</v>
      </c>
      <c r="I24" s="97">
        <v>2022.62</v>
      </c>
    </row>
    <row r="25" spans="1:9" ht="27.6" x14ac:dyDescent="0.3">
      <c r="A25" s="96">
        <v>16</v>
      </c>
      <c r="B25" s="96" t="s">
        <v>33</v>
      </c>
      <c r="C25" s="96">
        <v>55</v>
      </c>
      <c r="D25" s="96">
        <v>55</v>
      </c>
      <c r="E25" s="96">
        <v>0</v>
      </c>
      <c r="F25" s="96">
        <v>284.89999999999998</v>
      </c>
      <c r="G25" s="96">
        <v>5.18</v>
      </c>
      <c r="H25" s="97">
        <v>3660</v>
      </c>
      <c r="I25" s="97">
        <v>1042.73</v>
      </c>
    </row>
    <row r="26" spans="1:9" x14ac:dyDescent="0.3">
      <c r="A26" s="96">
        <v>17</v>
      </c>
      <c r="B26" s="96" t="s">
        <v>204</v>
      </c>
      <c r="C26" s="97">
        <v>45582.04</v>
      </c>
      <c r="D26" s="97">
        <v>44328.54</v>
      </c>
      <c r="E26" s="96">
        <v>0</v>
      </c>
      <c r="F26" s="97">
        <v>560355.34</v>
      </c>
      <c r="G26" s="96">
        <v>12.64</v>
      </c>
      <c r="H26" s="97">
        <v>5639.72</v>
      </c>
      <c r="I26" s="97">
        <v>3160245.32</v>
      </c>
    </row>
    <row r="27" spans="1:9" x14ac:dyDescent="0.3">
      <c r="A27" s="96">
        <v>18</v>
      </c>
      <c r="B27" s="96" t="s">
        <v>34</v>
      </c>
      <c r="C27" s="96">
        <v>295.27999999999997</v>
      </c>
      <c r="D27" s="96">
        <v>110.28</v>
      </c>
      <c r="E27" s="96">
        <v>0</v>
      </c>
      <c r="F27" s="97">
        <v>1379.79</v>
      </c>
      <c r="G27" s="96">
        <v>12.51</v>
      </c>
      <c r="H27" s="97">
        <v>6118.12</v>
      </c>
      <c r="I27" s="97">
        <v>8441.7199999999993</v>
      </c>
    </row>
    <row r="28" spans="1:9" x14ac:dyDescent="0.3">
      <c r="A28" s="96">
        <v>19</v>
      </c>
      <c r="B28" s="96" t="s">
        <v>212</v>
      </c>
      <c r="C28" s="96">
        <v>194</v>
      </c>
      <c r="D28" s="96">
        <v>194</v>
      </c>
      <c r="E28" s="96">
        <v>0</v>
      </c>
      <c r="F28" s="97">
        <v>1112.55</v>
      </c>
      <c r="G28" s="96">
        <v>5.73</v>
      </c>
      <c r="H28" s="97">
        <v>3081.75</v>
      </c>
      <c r="I28" s="97">
        <v>3428.6</v>
      </c>
    </row>
    <row r="29" spans="1:9" ht="27.6" x14ac:dyDescent="0.3">
      <c r="A29" s="96">
        <v>20</v>
      </c>
      <c r="B29" s="96" t="s">
        <v>213</v>
      </c>
      <c r="C29" s="96">
        <v>937.76</v>
      </c>
      <c r="D29" s="96">
        <v>857.76</v>
      </c>
      <c r="E29" s="96">
        <v>0</v>
      </c>
      <c r="F29" s="97">
        <v>9656.8799999999992</v>
      </c>
      <c r="G29" s="96">
        <v>11.26</v>
      </c>
      <c r="H29" s="97">
        <v>8104.71</v>
      </c>
      <c r="I29" s="97">
        <v>78266.25</v>
      </c>
    </row>
    <row r="30" spans="1:9" x14ac:dyDescent="0.3">
      <c r="A30" s="96">
        <v>21</v>
      </c>
      <c r="B30" s="96" t="s">
        <v>36</v>
      </c>
      <c r="C30" s="97">
        <v>15050.22</v>
      </c>
      <c r="D30" s="97">
        <v>15040.22</v>
      </c>
      <c r="E30" s="96">
        <v>0</v>
      </c>
      <c r="F30" s="97">
        <v>101423.94</v>
      </c>
      <c r="G30" s="96">
        <v>6.74</v>
      </c>
      <c r="H30" s="97">
        <v>5613.54</v>
      </c>
      <c r="I30" s="97">
        <v>569347.67000000004</v>
      </c>
    </row>
    <row r="31" spans="1:9" x14ac:dyDescent="0.3">
      <c r="A31" s="96">
        <v>22</v>
      </c>
      <c r="B31" s="96" t="s">
        <v>214</v>
      </c>
      <c r="C31" s="96">
        <v>182.04</v>
      </c>
      <c r="D31" s="96">
        <v>182.04</v>
      </c>
      <c r="E31" s="96">
        <v>0</v>
      </c>
      <c r="F31" s="97">
        <v>2802.15</v>
      </c>
      <c r="G31" s="96">
        <v>15.39</v>
      </c>
      <c r="H31" s="97">
        <v>6396.33</v>
      </c>
      <c r="I31" s="97">
        <v>17923.48</v>
      </c>
    </row>
    <row r="32" spans="1:9" x14ac:dyDescent="0.3">
      <c r="A32" s="96">
        <v>23</v>
      </c>
      <c r="B32" s="96" t="s">
        <v>37</v>
      </c>
      <c r="C32" s="96">
        <v>25</v>
      </c>
      <c r="D32" s="96">
        <v>25</v>
      </c>
      <c r="E32" s="96">
        <v>0</v>
      </c>
      <c r="F32" s="96">
        <v>209.39</v>
      </c>
      <c r="G32" s="96">
        <v>8.3800000000000008</v>
      </c>
      <c r="H32" s="97">
        <v>5209.79</v>
      </c>
      <c r="I32" s="97">
        <v>1090.8800000000001</v>
      </c>
    </row>
    <row r="33" spans="1:9" x14ac:dyDescent="0.3">
      <c r="A33" s="130" t="s">
        <v>38</v>
      </c>
      <c r="B33" s="131"/>
      <c r="C33" s="98">
        <v>220964.92</v>
      </c>
      <c r="D33" s="98">
        <v>213957.05</v>
      </c>
      <c r="E33" s="99">
        <v>0</v>
      </c>
      <c r="F33" s="98">
        <v>2347620.19</v>
      </c>
      <c r="G33" s="99">
        <v>10.97</v>
      </c>
      <c r="H33" s="98">
        <v>6178.02</v>
      </c>
      <c r="I33" s="98">
        <v>14503638.810000001</v>
      </c>
    </row>
  </sheetData>
  <mergeCells count="6">
    <mergeCell ref="F7:F9"/>
    <mergeCell ref="A33:B33"/>
    <mergeCell ref="A7:A9"/>
    <mergeCell ref="B7:B9"/>
    <mergeCell ref="C7:E7"/>
    <mergeCell ref="C8:E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workbookViewId="0">
      <selection activeCell="K39" sqref="K39"/>
    </sheetView>
  </sheetViews>
  <sheetFormatPr defaultRowHeight="14.4" x14ac:dyDescent="0.3"/>
  <cols>
    <col min="3" max="4" width="10" bestFit="1" customWidth="1"/>
    <col min="6" max="6" width="11.44140625" bestFit="1" customWidth="1"/>
    <col min="9" max="9" width="12.44140625" bestFit="1" customWidth="1"/>
  </cols>
  <sheetData>
    <row r="1" spans="1:9" x14ac:dyDescent="0.3">
      <c r="A1" s="101" t="s">
        <v>0</v>
      </c>
      <c r="B1" s="100"/>
      <c r="C1" s="100"/>
      <c r="D1" s="100"/>
      <c r="E1" s="100"/>
      <c r="F1" s="100"/>
      <c r="G1" s="100"/>
      <c r="H1" s="100"/>
      <c r="I1" s="100"/>
    </row>
    <row r="2" spans="1:9" x14ac:dyDescent="0.3">
      <c r="A2" s="101" t="s">
        <v>1</v>
      </c>
      <c r="B2" s="100"/>
      <c r="C2" s="100"/>
      <c r="D2" s="100"/>
      <c r="E2" s="100"/>
      <c r="F2" s="100"/>
      <c r="G2" s="100"/>
      <c r="H2" s="100"/>
      <c r="I2" s="100"/>
    </row>
    <row r="3" spans="1:9" x14ac:dyDescent="0.3">
      <c r="A3" s="101" t="s">
        <v>2</v>
      </c>
      <c r="B3" s="100"/>
      <c r="C3" s="100"/>
      <c r="D3" s="100"/>
      <c r="E3" s="100"/>
      <c r="F3" s="100"/>
      <c r="G3" s="100"/>
      <c r="H3" s="100"/>
      <c r="I3" s="100"/>
    </row>
    <row r="4" spans="1:9" x14ac:dyDescent="0.3">
      <c r="A4" s="101" t="s">
        <v>3</v>
      </c>
      <c r="B4" s="100"/>
      <c r="C4" s="100"/>
      <c r="D4" s="100"/>
      <c r="E4" s="100"/>
      <c r="F4" s="100"/>
      <c r="G4" s="100"/>
      <c r="H4" s="100"/>
      <c r="I4" s="100"/>
    </row>
    <row r="5" spans="1:9" x14ac:dyDescent="0.3">
      <c r="A5" s="101" t="s">
        <v>224</v>
      </c>
      <c r="B5" s="100"/>
      <c r="C5" s="100"/>
      <c r="D5" s="100"/>
      <c r="E5" s="100"/>
      <c r="F5" s="100"/>
      <c r="G5" s="100"/>
      <c r="H5" s="100"/>
      <c r="I5" s="100"/>
    </row>
    <row r="7" spans="1:9" ht="27.6" x14ac:dyDescent="0.3">
      <c r="A7" s="132"/>
      <c r="B7" s="132" t="s">
        <v>5</v>
      </c>
      <c r="C7" s="135" t="s">
        <v>6</v>
      </c>
      <c r="D7" s="136"/>
      <c r="E7" s="137"/>
      <c r="F7" s="132" t="s">
        <v>8</v>
      </c>
      <c r="G7" s="102" t="s">
        <v>9</v>
      </c>
      <c r="H7" s="102" t="s">
        <v>11</v>
      </c>
      <c r="I7" s="102" t="s">
        <v>13</v>
      </c>
    </row>
    <row r="8" spans="1:9" ht="27.6" x14ac:dyDescent="0.3">
      <c r="A8" s="133"/>
      <c r="B8" s="133"/>
      <c r="C8" s="138" t="s">
        <v>7</v>
      </c>
      <c r="D8" s="139"/>
      <c r="E8" s="140"/>
      <c r="F8" s="133"/>
      <c r="G8" s="103" t="s">
        <v>10</v>
      </c>
      <c r="H8" s="103" t="s">
        <v>12</v>
      </c>
      <c r="I8" s="103" t="s">
        <v>14</v>
      </c>
    </row>
    <row r="9" spans="1:9" ht="27.6" x14ac:dyDescent="0.3">
      <c r="A9" s="134"/>
      <c r="B9" s="134"/>
      <c r="C9" s="105" t="s">
        <v>15</v>
      </c>
      <c r="D9" s="105" t="s">
        <v>16</v>
      </c>
      <c r="E9" s="105" t="s">
        <v>17</v>
      </c>
      <c r="F9" s="134"/>
      <c r="G9" s="104"/>
      <c r="H9" s="104"/>
      <c r="I9" s="104"/>
    </row>
    <row r="10" spans="1:9" ht="27.6" x14ac:dyDescent="0.3">
      <c r="A10" s="106">
        <v>1</v>
      </c>
      <c r="B10" s="106" t="s">
        <v>18</v>
      </c>
      <c r="C10" s="106">
        <v>3.5</v>
      </c>
      <c r="D10" s="106">
        <v>3.5</v>
      </c>
      <c r="E10" s="106">
        <v>0</v>
      </c>
      <c r="F10" s="106">
        <v>25.9</v>
      </c>
      <c r="G10" s="106">
        <v>7.4</v>
      </c>
      <c r="H10" s="107">
        <v>2810</v>
      </c>
      <c r="I10" s="106">
        <v>72.78</v>
      </c>
    </row>
    <row r="11" spans="1:9" ht="27.6" x14ac:dyDescent="0.3">
      <c r="A11" s="106">
        <v>2</v>
      </c>
      <c r="B11" s="106" t="s">
        <v>19</v>
      </c>
      <c r="C11" s="106">
        <v>241.5</v>
      </c>
      <c r="D11" s="106">
        <v>238.5</v>
      </c>
      <c r="E11" s="106">
        <v>0</v>
      </c>
      <c r="F11" s="107">
        <v>3037.5</v>
      </c>
      <c r="G11" s="106">
        <v>12.74</v>
      </c>
      <c r="H11" s="107">
        <v>9002.9</v>
      </c>
      <c r="I11" s="107">
        <v>27346.3</v>
      </c>
    </row>
    <row r="12" spans="1:9" ht="41.4" x14ac:dyDescent="0.3">
      <c r="A12" s="106">
        <v>3</v>
      </c>
      <c r="B12" s="106" t="s">
        <v>20</v>
      </c>
      <c r="C12" s="107">
        <v>3017.5</v>
      </c>
      <c r="D12" s="107">
        <v>2985.5</v>
      </c>
      <c r="E12" s="106">
        <v>0</v>
      </c>
      <c r="F12" s="107">
        <v>61970.85</v>
      </c>
      <c r="G12" s="106">
        <v>20.76</v>
      </c>
      <c r="H12" s="107">
        <v>3446.04</v>
      </c>
      <c r="I12" s="107">
        <v>213554.09</v>
      </c>
    </row>
    <row r="13" spans="1:9" ht="27.6" x14ac:dyDescent="0.3">
      <c r="A13" s="106">
        <v>4</v>
      </c>
      <c r="B13" s="106" t="s">
        <v>206</v>
      </c>
      <c r="C13" s="107">
        <v>1311</v>
      </c>
      <c r="D13" s="107">
        <v>1275</v>
      </c>
      <c r="E13" s="106">
        <v>0</v>
      </c>
      <c r="F13" s="107">
        <v>13382.06</v>
      </c>
      <c r="G13" s="106">
        <v>10.5</v>
      </c>
      <c r="H13" s="107">
        <v>6801.88</v>
      </c>
      <c r="I13" s="107">
        <v>91023.17</v>
      </c>
    </row>
    <row r="14" spans="1:9" x14ac:dyDescent="0.3">
      <c r="A14" s="106">
        <v>5</v>
      </c>
      <c r="B14" s="106" t="s">
        <v>202</v>
      </c>
      <c r="C14" s="106">
        <v>346.95</v>
      </c>
      <c r="D14" s="106">
        <v>345.95</v>
      </c>
      <c r="E14" s="106">
        <v>0</v>
      </c>
      <c r="F14" s="107">
        <v>4969.1000000000004</v>
      </c>
      <c r="G14" s="106">
        <v>14.36</v>
      </c>
      <c r="H14" s="107">
        <v>3601.78</v>
      </c>
      <c r="I14" s="107">
        <v>17897.61</v>
      </c>
    </row>
    <row r="15" spans="1:9" x14ac:dyDescent="0.3">
      <c r="A15" s="106">
        <v>6</v>
      </c>
      <c r="B15" s="106" t="s">
        <v>203</v>
      </c>
      <c r="C15" s="107">
        <v>1946.1</v>
      </c>
      <c r="D15" s="107">
        <v>1842.5</v>
      </c>
      <c r="E15" s="106">
        <v>0</v>
      </c>
      <c r="F15" s="107">
        <v>13029.21</v>
      </c>
      <c r="G15" s="106">
        <v>7.07</v>
      </c>
      <c r="H15" s="107">
        <v>2500.0700000000002</v>
      </c>
      <c r="I15" s="107">
        <v>32573.87</v>
      </c>
    </row>
    <row r="16" spans="1:9" x14ac:dyDescent="0.3">
      <c r="A16" s="106">
        <v>7</v>
      </c>
      <c r="B16" s="106" t="s">
        <v>208</v>
      </c>
      <c r="C16" s="106">
        <v>293.60000000000002</v>
      </c>
      <c r="D16" s="106">
        <v>293.60000000000002</v>
      </c>
      <c r="E16" s="106">
        <v>0</v>
      </c>
      <c r="F16" s="106">
        <v>603.94000000000005</v>
      </c>
      <c r="G16" s="106">
        <v>2.06</v>
      </c>
      <c r="H16" s="107">
        <v>5696.52</v>
      </c>
      <c r="I16" s="107">
        <v>3440.36</v>
      </c>
    </row>
    <row r="17" spans="1:9" x14ac:dyDescent="0.3">
      <c r="A17" s="106">
        <v>8</v>
      </c>
      <c r="B17" s="106" t="s">
        <v>24</v>
      </c>
      <c r="C17" s="106">
        <v>661.4</v>
      </c>
      <c r="D17" s="106">
        <v>645.79</v>
      </c>
      <c r="E17" s="106">
        <v>0</v>
      </c>
      <c r="F17" s="107">
        <v>6419.86</v>
      </c>
      <c r="G17" s="106">
        <v>9.94</v>
      </c>
      <c r="H17" s="107">
        <v>4647.54</v>
      </c>
      <c r="I17" s="107">
        <v>29836.560000000001</v>
      </c>
    </row>
    <row r="18" spans="1:9" x14ac:dyDescent="0.3">
      <c r="A18" s="106">
        <v>9</v>
      </c>
      <c r="B18" s="106" t="s">
        <v>25</v>
      </c>
      <c r="C18" s="107">
        <v>5808.4</v>
      </c>
      <c r="D18" s="107">
        <v>5536</v>
      </c>
      <c r="E18" s="106">
        <v>0</v>
      </c>
      <c r="F18" s="107">
        <v>64780.39</v>
      </c>
      <c r="G18" s="106">
        <v>11.7</v>
      </c>
      <c r="H18" s="107">
        <v>1542.68</v>
      </c>
      <c r="I18" s="107">
        <v>99935.48</v>
      </c>
    </row>
    <row r="19" spans="1:9" x14ac:dyDescent="0.3">
      <c r="A19" s="106">
        <v>10</v>
      </c>
      <c r="B19" s="106" t="s">
        <v>26</v>
      </c>
      <c r="C19" s="106">
        <v>593</v>
      </c>
      <c r="D19" s="106">
        <v>593</v>
      </c>
      <c r="E19" s="106">
        <v>0</v>
      </c>
      <c r="F19" s="107">
        <v>10391.52</v>
      </c>
      <c r="G19" s="106">
        <v>17.52</v>
      </c>
      <c r="H19" s="107">
        <v>7695.94</v>
      </c>
      <c r="I19" s="107">
        <v>79972.479999999996</v>
      </c>
    </row>
    <row r="20" spans="1:9" x14ac:dyDescent="0.3">
      <c r="A20" s="106">
        <v>11</v>
      </c>
      <c r="B20" s="106" t="s">
        <v>209</v>
      </c>
      <c r="C20" s="106">
        <v>26</v>
      </c>
      <c r="D20" s="106">
        <v>26</v>
      </c>
      <c r="E20" s="106">
        <v>0</v>
      </c>
      <c r="F20" s="106">
        <v>176.48</v>
      </c>
      <c r="G20" s="106">
        <v>6.79</v>
      </c>
      <c r="H20" s="107">
        <v>5763.11</v>
      </c>
      <c r="I20" s="107">
        <v>1017.07</v>
      </c>
    </row>
    <row r="21" spans="1:9" ht="27.6" x14ac:dyDescent="0.3">
      <c r="A21" s="106">
        <v>12</v>
      </c>
      <c r="B21" s="106" t="s">
        <v>27</v>
      </c>
      <c r="C21" s="106">
        <v>316</v>
      </c>
      <c r="D21" s="106">
        <v>305</v>
      </c>
      <c r="E21" s="106">
        <v>0</v>
      </c>
      <c r="F21" s="107">
        <v>3711.91</v>
      </c>
      <c r="G21" s="106">
        <v>12.17</v>
      </c>
      <c r="H21" s="107">
        <v>4978.97</v>
      </c>
      <c r="I21" s="107">
        <v>18481.509999999998</v>
      </c>
    </row>
    <row r="22" spans="1:9" x14ac:dyDescent="0.3">
      <c r="A22" s="106">
        <v>13</v>
      </c>
      <c r="B22" s="106" t="s">
        <v>210</v>
      </c>
      <c r="C22" s="106">
        <v>185</v>
      </c>
      <c r="D22" s="106">
        <v>185</v>
      </c>
      <c r="E22" s="106">
        <v>0</v>
      </c>
      <c r="F22" s="107">
        <v>5159.3500000000004</v>
      </c>
      <c r="G22" s="106">
        <v>27.89</v>
      </c>
      <c r="H22" s="107">
        <v>3829.11</v>
      </c>
      <c r="I22" s="107">
        <v>19755.72</v>
      </c>
    </row>
    <row r="23" spans="1:9" x14ac:dyDescent="0.3">
      <c r="A23" s="106">
        <v>14</v>
      </c>
      <c r="B23" s="106" t="s">
        <v>28</v>
      </c>
      <c r="C23" s="106">
        <v>82.16</v>
      </c>
      <c r="D23" s="106">
        <v>82.16</v>
      </c>
      <c r="E23" s="106">
        <v>0</v>
      </c>
      <c r="F23" s="106">
        <v>771.71</v>
      </c>
      <c r="G23" s="106">
        <v>9.39</v>
      </c>
      <c r="H23" s="107">
        <v>6137.64</v>
      </c>
      <c r="I23" s="107">
        <v>4736.4799999999996</v>
      </c>
    </row>
    <row r="24" spans="1:9" ht="27.6" x14ac:dyDescent="0.3">
      <c r="A24" s="106">
        <v>15</v>
      </c>
      <c r="B24" s="106" t="s">
        <v>29</v>
      </c>
      <c r="C24" s="107">
        <v>26295</v>
      </c>
      <c r="D24" s="107">
        <v>25667</v>
      </c>
      <c r="E24" s="106">
        <v>0</v>
      </c>
      <c r="F24" s="107">
        <v>264976.8</v>
      </c>
      <c r="G24" s="106">
        <v>10.32</v>
      </c>
      <c r="H24" s="107">
        <v>4600.3900000000003</v>
      </c>
      <c r="I24" s="107">
        <v>1218996.67</v>
      </c>
    </row>
    <row r="25" spans="1:9" x14ac:dyDescent="0.3">
      <c r="A25" s="106">
        <v>16</v>
      </c>
      <c r="B25" s="106" t="s">
        <v>30</v>
      </c>
      <c r="C25" s="107">
        <v>4386.96</v>
      </c>
      <c r="D25" s="107">
        <v>4376.96</v>
      </c>
      <c r="E25" s="106">
        <v>0</v>
      </c>
      <c r="F25" s="107">
        <v>53027.12</v>
      </c>
      <c r="G25" s="106">
        <v>12.12</v>
      </c>
      <c r="H25" s="107">
        <v>4547.24</v>
      </c>
      <c r="I25" s="107">
        <v>241127.11</v>
      </c>
    </row>
    <row r="26" spans="1:9" x14ac:dyDescent="0.3">
      <c r="A26" s="106">
        <v>17</v>
      </c>
      <c r="B26" s="106" t="s">
        <v>31</v>
      </c>
      <c r="C26" s="107">
        <v>35831.15</v>
      </c>
      <c r="D26" s="107">
        <v>29481.8</v>
      </c>
      <c r="E26" s="106">
        <v>0</v>
      </c>
      <c r="F26" s="107">
        <v>379102.91</v>
      </c>
      <c r="G26" s="106">
        <v>12.86</v>
      </c>
      <c r="H26" s="107">
        <v>4554.29</v>
      </c>
      <c r="I26" s="107">
        <v>1726543.43</v>
      </c>
    </row>
    <row r="27" spans="1:9" x14ac:dyDescent="0.3">
      <c r="A27" s="106">
        <v>18</v>
      </c>
      <c r="B27" s="106" t="s">
        <v>32</v>
      </c>
      <c r="C27" s="106">
        <v>240</v>
      </c>
      <c r="D27" s="106">
        <v>240</v>
      </c>
      <c r="E27" s="106">
        <v>0</v>
      </c>
      <c r="F27" s="107">
        <v>2128.71</v>
      </c>
      <c r="G27" s="106">
        <v>8.8699999999999992</v>
      </c>
      <c r="H27" s="107">
        <v>5036.91</v>
      </c>
      <c r="I27" s="107">
        <v>10722.12</v>
      </c>
    </row>
    <row r="28" spans="1:9" ht="27.6" x14ac:dyDescent="0.3">
      <c r="A28" s="106">
        <v>19</v>
      </c>
      <c r="B28" s="106" t="s">
        <v>211</v>
      </c>
      <c r="C28" s="107">
        <v>1249</v>
      </c>
      <c r="D28" s="107">
        <v>1218</v>
      </c>
      <c r="E28" s="106">
        <v>0</v>
      </c>
      <c r="F28" s="107">
        <v>14601.18</v>
      </c>
      <c r="G28" s="106">
        <v>11.99</v>
      </c>
      <c r="H28" s="107">
        <v>5837.2</v>
      </c>
      <c r="I28" s="107">
        <v>85230.05</v>
      </c>
    </row>
    <row r="29" spans="1:9" ht="27.6" x14ac:dyDescent="0.3">
      <c r="A29" s="106">
        <v>20</v>
      </c>
      <c r="B29" s="106" t="s">
        <v>33</v>
      </c>
      <c r="C29" s="107">
        <v>31941.5</v>
      </c>
      <c r="D29" s="107">
        <v>31844</v>
      </c>
      <c r="E29" s="106">
        <v>0</v>
      </c>
      <c r="F29" s="107">
        <v>373597.53</v>
      </c>
      <c r="G29" s="106">
        <v>11.73</v>
      </c>
      <c r="H29" s="107">
        <v>3473.71</v>
      </c>
      <c r="I29" s="107">
        <v>1297770.92</v>
      </c>
    </row>
    <row r="30" spans="1:9" x14ac:dyDescent="0.3">
      <c r="A30" s="106">
        <v>21</v>
      </c>
      <c r="B30" s="106" t="s">
        <v>204</v>
      </c>
      <c r="C30" s="107">
        <v>1497.59</v>
      </c>
      <c r="D30" s="107">
        <v>1495.59</v>
      </c>
      <c r="E30" s="106">
        <v>0</v>
      </c>
      <c r="F30" s="107">
        <v>17895.11</v>
      </c>
      <c r="G30" s="106">
        <v>11.97</v>
      </c>
      <c r="H30" s="107">
        <v>8075.7</v>
      </c>
      <c r="I30" s="107">
        <v>144515.49</v>
      </c>
    </row>
    <row r="31" spans="1:9" x14ac:dyDescent="0.3">
      <c r="A31" s="106">
        <v>22</v>
      </c>
      <c r="B31" s="106" t="s">
        <v>34</v>
      </c>
      <c r="C31" s="107">
        <v>8166.5</v>
      </c>
      <c r="D31" s="107">
        <v>6598.5</v>
      </c>
      <c r="E31" s="106">
        <v>0</v>
      </c>
      <c r="F31" s="107">
        <v>147621.13</v>
      </c>
      <c r="G31" s="106">
        <v>22.37</v>
      </c>
      <c r="H31" s="107">
        <v>5630.09</v>
      </c>
      <c r="I31" s="107">
        <v>831120.16</v>
      </c>
    </row>
    <row r="32" spans="1:9" x14ac:dyDescent="0.3">
      <c r="A32" s="106">
        <v>23</v>
      </c>
      <c r="B32" s="106" t="s">
        <v>212</v>
      </c>
      <c r="C32" s="107">
        <v>8167.5</v>
      </c>
      <c r="D32" s="107">
        <v>8166.5</v>
      </c>
      <c r="E32" s="106">
        <v>0</v>
      </c>
      <c r="F32" s="107">
        <v>95562</v>
      </c>
      <c r="G32" s="106">
        <v>11.7</v>
      </c>
      <c r="H32" s="107">
        <v>2711.92</v>
      </c>
      <c r="I32" s="107">
        <v>259156.38</v>
      </c>
    </row>
    <row r="33" spans="1:9" ht="27.6" x14ac:dyDescent="0.3">
      <c r="A33" s="106">
        <v>24</v>
      </c>
      <c r="B33" s="106" t="s">
        <v>213</v>
      </c>
      <c r="C33" s="107">
        <v>34622.400000000001</v>
      </c>
      <c r="D33" s="107">
        <v>32016.400000000001</v>
      </c>
      <c r="E33" s="106">
        <v>0</v>
      </c>
      <c r="F33" s="107">
        <v>520467.44</v>
      </c>
      <c r="G33" s="106">
        <v>16.260000000000002</v>
      </c>
      <c r="H33" s="107">
        <v>7084.92</v>
      </c>
      <c r="I33" s="107">
        <v>3687471.15</v>
      </c>
    </row>
    <row r="34" spans="1:9" x14ac:dyDescent="0.3">
      <c r="A34" s="106">
        <v>25</v>
      </c>
      <c r="B34" s="106" t="s">
        <v>36</v>
      </c>
      <c r="C34" s="107">
        <v>171674.97</v>
      </c>
      <c r="D34" s="107">
        <v>171317.31</v>
      </c>
      <c r="E34" s="106">
        <v>0</v>
      </c>
      <c r="F34" s="107">
        <v>2575414.17</v>
      </c>
      <c r="G34" s="106">
        <v>15.03</v>
      </c>
      <c r="H34" s="107">
        <v>3267.73</v>
      </c>
      <c r="I34" s="107">
        <v>8415760.1300000008</v>
      </c>
    </row>
    <row r="35" spans="1:9" x14ac:dyDescent="0.3">
      <c r="A35" s="106">
        <v>26</v>
      </c>
      <c r="B35" s="106" t="s">
        <v>214</v>
      </c>
      <c r="C35" s="107">
        <v>14437.11</v>
      </c>
      <c r="D35" s="107">
        <v>14437.11</v>
      </c>
      <c r="E35" s="106">
        <v>0</v>
      </c>
      <c r="F35" s="107">
        <v>203228.27</v>
      </c>
      <c r="G35" s="106">
        <v>14.08</v>
      </c>
      <c r="H35" s="107">
        <v>5829.38</v>
      </c>
      <c r="I35" s="107">
        <v>1184694.31</v>
      </c>
    </row>
    <row r="36" spans="1:9" x14ac:dyDescent="0.3">
      <c r="A36" s="130" t="s">
        <v>38</v>
      </c>
      <c r="B36" s="131"/>
      <c r="C36" s="108">
        <v>353341.79</v>
      </c>
      <c r="D36" s="108">
        <v>341216.67</v>
      </c>
      <c r="E36" s="109">
        <v>0</v>
      </c>
      <c r="F36" s="108">
        <v>4836052.1500000004</v>
      </c>
      <c r="G36" s="109">
        <v>14.17</v>
      </c>
      <c r="H36" s="108">
        <v>4082.41</v>
      </c>
      <c r="I36" s="108">
        <v>19742751.399999999</v>
      </c>
    </row>
  </sheetData>
  <mergeCells count="6">
    <mergeCell ref="F7:F9"/>
    <mergeCell ref="A36:B36"/>
    <mergeCell ref="A7:A9"/>
    <mergeCell ref="B7:B9"/>
    <mergeCell ref="C7:E7"/>
    <mergeCell ref="C8:E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selection activeCell="L8" sqref="L8"/>
    </sheetView>
  </sheetViews>
  <sheetFormatPr defaultRowHeight="14.4" x14ac:dyDescent="0.3"/>
  <cols>
    <col min="6" max="6" width="11.44140625" bestFit="1" customWidth="1"/>
    <col min="9" max="9" width="12.44140625" bestFit="1" customWidth="1"/>
  </cols>
  <sheetData>
    <row r="1" spans="1:9" x14ac:dyDescent="0.3">
      <c r="A1" s="111" t="s">
        <v>0</v>
      </c>
      <c r="B1" s="110"/>
      <c r="C1" s="110"/>
      <c r="D1" s="110"/>
      <c r="E1" s="110"/>
      <c r="F1" s="110"/>
      <c r="G1" s="110"/>
      <c r="H1" s="110"/>
      <c r="I1" s="110"/>
    </row>
    <row r="2" spans="1:9" x14ac:dyDescent="0.3">
      <c r="A2" s="111" t="s">
        <v>1</v>
      </c>
      <c r="B2" s="110"/>
      <c r="C2" s="110"/>
      <c r="D2" s="110"/>
      <c r="E2" s="110"/>
      <c r="F2" s="110"/>
      <c r="G2" s="110"/>
      <c r="H2" s="110"/>
      <c r="I2" s="110"/>
    </row>
    <row r="3" spans="1:9" x14ac:dyDescent="0.3">
      <c r="A3" s="111" t="s">
        <v>2</v>
      </c>
      <c r="B3" s="110"/>
      <c r="C3" s="110"/>
      <c r="D3" s="110"/>
      <c r="E3" s="110"/>
      <c r="F3" s="110"/>
      <c r="G3" s="110"/>
      <c r="H3" s="110"/>
      <c r="I3" s="110"/>
    </row>
    <row r="4" spans="1:9" x14ac:dyDescent="0.3">
      <c r="A4" s="111" t="s">
        <v>3</v>
      </c>
      <c r="B4" s="110"/>
      <c r="C4" s="110"/>
      <c r="D4" s="110"/>
      <c r="E4" s="110"/>
      <c r="F4" s="110"/>
      <c r="G4" s="110"/>
      <c r="H4" s="110"/>
      <c r="I4" s="110"/>
    </row>
    <row r="5" spans="1:9" x14ac:dyDescent="0.3">
      <c r="A5" s="111" t="s">
        <v>225</v>
      </c>
      <c r="B5" s="110"/>
      <c r="C5" s="110"/>
      <c r="D5" s="110"/>
      <c r="E5" s="110"/>
      <c r="F5" s="110"/>
      <c r="G5" s="110"/>
      <c r="H5" s="110"/>
      <c r="I5" s="110"/>
    </row>
    <row r="7" spans="1:9" ht="27.6" x14ac:dyDescent="0.3">
      <c r="A7" s="132"/>
      <c r="B7" s="132" t="s">
        <v>5</v>
      </c>
      <c r="C7" s="135" t="s">
        <v>6</v>
      </c>
      <c r="D7" s="136"/>
      <c r="E7" s="137"/>
      <c r="F7" s="132" t="s">
        <v>8</v>
      </c>
      <c r="G7" s="112" t="s">
        <v>9</v>
      </c>
      <c r="H7" s="112" t="s">
        <v>11</v>
      </c>
      <c r="I7" s="112" t="s">
        <v>13</v>
      </c>
    </row>
    <row r="8" spans="1:9" ht="27.6" x14ac:dyDescent="0.3">
      <c r="A8" s="133"/>
      <c r="B8" s="133"/>
      <c r="C8" s="138" t="s">
        <v>7</v>
      </c>
      <c r="D8" s="139"/>
      <c r="E8" s="140"/>
      <c r="F8" s="133"/>
      <c r="G8" s="113" t="s">
        <v>10</v>
      </c>
      <c r="H8" s="113" t="s">
        <v>12</v>
      </c>
      <c r="I8" s="113" t="s">
        <v>14</v>
      </c>
    </row>
    <row r="9" spans="1:9" ht="27.6" x14ac:dyDescent="0.3">
      <c r="A9" s="134"/>
      <c r="B9" s="134"/>
      <c r="C9" s="115" t="s">
        <v>15</v>
      </c>
      <c r="D9" s="115" t="s">
        <v>16</v>
      </c>
      <c r="E9" s="115" t="s">
        <v>17</v>
      </c>
      <c r="F9" s="134"/>
      <c r="G9" s="114"/>
      <c r="H9" s="114"/>
      <c r="I9" s="114"/>
    </row>
    <row r="10" spans="1:9" ht="41.4" x14ac:dyDescent="0.3">
      <c r="A10" s="116">
        <v>1</v>
      </c>
      <c r="B10" s="116" t="s">
        <v>20</v>
      </c>
      <c r="C10" s="117">
        <v>2475</v>
      </c>
      <c r="D10" s="117">
        <v>2475</v>
      </c>
      <c r="E10" s="116">
        <v>0</v>
      </c>
      <c r="F10" s="117">
        <v>74939</v>
      </c>
      <c r="G10" s="116">
        <v>30.28</v>
      </c>
      <c r="H10" s="117">
        <v>6189.54</v>
      </c>
      <c r="I10" s="117">
        <v>463838.29</v>
      </c>
    </row>
    <row r="11" spans="1:9" x14ac:dyDescent="0.3">
      <c r="A11" s="116">
        <v>2</v>
      </c>
      <c r="B11" s="116" t="s">
        <v>21</v>
      </c>
      <c r="C11" s="116">
        <v>277</v>
      </c>
      <c r="D11" s="116">
        <v>277</v>
      </c>
      <c r="E11" s="116">
        <v>0</v>
      </c>
      <c r="F11" s="117">
        <v>9960.94</v>
      </c>
      <c r="G11" s="116">
        <v>35.96</v>
      </c>
      <c r="H11" s="117">
        <v>12302.67</v>
      </c>
      <c r="I11" s="117">
        <v>122546.2</v>
      </c>
    </row>
    <row r="12" spans="1:9" x14ac:dyDescent="0.3">
      <c r="A12" s="116">
        <v>3</v>
      </c>
      <c r="B12" s="116" t="s">
        <v>203</v>
      </c>
      <c r="C12" s="117">
        <v>1887.4</v>
      </c>
      <c r="D12" s="117">
        <v>1887.4</v>
      </c>
      <c r="E12" s="116">
        <v>0</v>
      </c>
      <c r="F12" s="117">
        <v>30222.240000000002</v>
      </c>
      <c r="G12" s="116">
        <v>16.010000000000002</v>
      </c>
      <c r="H12" s="117">
        <v>8634.33</v>
      </c>
      <c r="I12" s="117">
        <v>260948.85</v>
      </c>
    </row>
    <row r="13" spans="1:9" ht="27.6" x14ac:dyDescent="0.3">
      <c r="A13" s="116">
        <v>4</v>
      </c>
      <c r="B13" s="116" t="s">
        <v>22</v>
      </c>
      <c r="C13" s="117">
        <v>1325</v>
      </c>
      <c r="D13" s="117">
        <v>1325</v>
      </c>
      <c r="E13" s="116">
        <v>0</v>
      </c>
      <c r="F13" s="117">
        <v>35748.400000000001</v>
      </c>
      <c r="G13" s="116">
        <v>26.98</v>
      </c>
      <c r="H13" s="117">
        <v>14178.11</v>
      </c>
      <c r="I13" s="117">
        <v>506844.66</v>
      </c>
    </row>
    <row r="14" spans="1:9" ht="27.6" x14ac:dyDescent="0.3">
      <c r="A14" s="116">
        <v>5</v>
      </c>
      <c r="B14" s="116" t="s">
        <v>207</v>
      </c>
      <c r="C14" s="117">
        <v>1038</v>
      </c>
      <c r="D14" s="117">
        <v>1038</v>
      </c>
      <c r="E14" s="116">
        <v>0</v>
      </c>
      <c r="F14" s="117">
        <v>49196.800000000003</v>
      </c>
      <c r="G14" s="116">
        <v>47.4</v>
      </c>
      <c r="H14" s="117">
        <v>7889.32</v>
      </c>
      <c r="I14" s="117">
        <v>388129.4</v>
      </c>
    </row>
    <row r="15" spans="1:9" x14ac:dyDescent="0.3">
      <c r="A15" s="116">
        <v>6</v>
      </c>
      <c r="B15" s="116" t="s">
        <v>208</v>
      </c>
      <c r="C15" s="116">
        <v>170</v>
      </c>
      <c r="D15" s="116">
        <v>142</v>
      </c>
      <c r="E15" s="116">
        <v>28</v>
      </c>
      <c r="F15" s="117">
        <v>2315.83</v>
      </c>
      <c r="G15" s="116">
        <v>16.309999999999999</v>
      </c>
      <c r="H15" s="117">
        <v>9687.32</v>
      </c>
      <c r="I15" s="117">
        <v>22434.18</v>
      </c>
    </row>
    <row r="16" spans="1:9" ht="27.6" x14ac:dyDescent="0.3">
      <c r="A16" s="116">
        <v>7</v>
      </c>
      <c r="B16" s="116" t="s">
        <v>23</v>
      </c>
      <c r="C16" s="116">
        <v>513</v>
      </c>
      <c r="D16" s="116">
        <v>513</v>
      </c>
      <c r="E16" s="116">
        <v>0</v>
      </c>
      <c r="F16" s="117">
        <v>24745.5</v>
      </c>
      <c r="G16" s="116">
        <v>48.24</v>
      </c>
      <c r="H16" s="117">
        <v>7169.74</v>
      </c>
      <c r="I16" s="117">
        <v>177418.8</v>
      </c>
    </row>
    <row r="17" spans="1:9" x14ac:dyDescent="0.3">
      <c r="A17" s="116">
        <v>8</v>
      </c>
      <c r="B17" s="116" t="s">
        <v>25</v>
      </c>
      <c r="C17" s="116">
        <v>14.46</v>
      </c>
      <c r="D17" s="116">
        <v>13.46</v>
      </c>
      <c r="E17" s="116">
        <v>1</v>
      </c>
      <c r="F17" s="116">
        <v>152.75</v>
      </c>
      <c r="G17" s="116">
        <v>11.35</v>
      </c>
      <c r="H17" s="117">
        <v>7649.26</v>
      </c>
      <c r="I17" s="117">
        <v>1168.42</v>
      </c>
    </row>
    <row r="18" spans="1:9" x14ac:dyDescent="0.3">
      <c r="A18" s="116">
        <v>9</v>
      </c>
      <c r="B18" s="116" t="s">
        <v>26</v>
      </c>
      <c r="C18" s="117">
        <v>1904.85</v>
      </c>
      <c r="D18" s="117">
        <v>1904.85</v>
      </c>
      <c r="E18" s="116">
        <v>0</v>
      </c>
      <c r="F18" s="117">
        <v>64698.01</v>
      </c>
      <c r="G18" s="116">
        <v>33.96</v>
      </c>
      <c r="H18" s="117">
        <v>10001.370000000001</v>
      </c>
      <c r="I18" s="117">
        <v>647068.94999999995</v>
      </c>
    </row>
    <row r="19" spans="1:9" x14ac:dyDescent="0.3">
      <c r="A19" s="116">
        <v>10</v>
      </c>
      <c r="B19" s="116" t="s">
        <v>209</v>
      </c>
      <c r="C19" s="117">
        <v>5887.11</v>
      </c>
      <c r="D19" s="117">
        <v>5887.11</v>
      </c>
      <c r="E19" s="116">
        <v>0</v>
      </c>
      <c r="F19" s="117">
        <v>170743.03</v>
      </c>
      <c r="G19" s="116">
        <v>29</v>
      </c>
      <c r="H19" s="117">
        <v>8267.8799999999992</v>
      </c>
      <c r="I19" s="117">
        <v>1411682.52</v>
      </c>
    </row>
    <row r="20" spans="1:9" ht="27.6" x14ac:dyDescent="0.3">
      <c r="A20" s="116">
        <v>11</v>
      </c>
      <c r="B20" s="116" t="s">
        <v>27</v>
      </c>
      <c r="C20" s="117">
        <v>1802.8</v>
      </c>
      <c r="D20" s="117">
        <v>1802.8</v>
      </c>
      <c r="E20" s="116">
        <v>0</v>
      </c>
      <c r="F20" s="117">
        <v>52375.28</v>
      </c>
      <c r="G20" s="116">
        <v>29.05</v>
      </c>
      <c r="H20" s="117">
        <v>8885.5</v>
      </c>
      <c r="I20" s="117">
        <v>465380.37</v>
      </c>
    </row>
    <row r="21" spans="1:9" x14ac:dyDescent="0.3">
      <c r="A21" s="116">
        <v>12</v>
      </c>
      <c r="B21" s="116" t="s">
        <v>210</v>
      </c>
      <c r="C21" s="116">
        <v>94</v>
      </c>
      <c r="D21" s="116">
        <v>94</v>
      </c>
      <c r="E21" s="116">
        <v>0</v>
      </c>
      <c r="F21" s="117">
        <v>2068</v>
      </c>
      <c r="G21" s="116">
        <v>22</v>
      </c>
      <c r="H21" s="117">
        <v>5857.18</v>
      </c>
      <c r="I21" s="117">
        <v>12112.65</v>
      </c>
    </row>
    <row r="22" spans="1:9" ht="27.6" x14ac:dyDescent="0.3">
      <c r="A22" s="116">
        <v>13</v>
      </c>
      <c r="B22" s="116" t="s">
        <v>29</v>
      </c>
      <c r="C22" s="117">
        <v>2592</v>
      </c>
      <c r="D22" s="117">
        <v>2592</v>
      </c>
      <c r="E22" s="116">
        <v>0</v>
      </c>
      <c r="F22" s="117">
        <v>113509</v>
      </c>
      <c r="G22" s="116">
        <v>43.79</v>
      </c>
      <c r="H22" s="117">
        <v>15021.32</v>
      </c>
      <c r="I22" s="117">
        <v>1705054.85</v>
      </c>
    </row>
    <row r="23" spans="1:9" x14ac:dyDescent="0.3">
      <c r="A23" s="116">
        <v>14</v>
      </c>
      <c r="B23" s="116" t="s">
        <v>30</v>
      </c>
      <c r="C23" s="116">
        <v>84.35</v>
      </c>
      <c r="D23" s="116">
        <v>84.35</v>
      </c>
      <c r="E23" s="116">
        <v>0</v>
      </c>
      <c r="F23" s="116">
        <v>793</v>
      </c>
      <c r="G23" s="116">
        <v>9.4</v>
      </c>
      <c r="H23" s="117">
        <v>4703.71</v>
      </c>
      <c r="I23" s="117">
        <v>3730.04</v>
      </c>
    </row>
    <row r="24" spans="1:9" x14ac:dyDescent="0.3">
      <c r="A24" s="116">
        <v>15</v>
      </c>
      <c r="B24" s="116" t="s">
        <v>31</v>
      </c>
      <c r="C24" s="117">
        <v>5955.44</v>
      </c>
      <c r="D24" s="117">
        <v>5955.44</v>
      </c>
      <c r="E24" s="116">
        <v>0</v>
      </c>
      <c r="F24" s="117">
        <v>152787.88</v>
      </c>
      <c r="G24" s="116">
        <v>25.66</v>
      </c>
      <c r="H24" s="117">
        <v>9500.0499999999993</v>
      </c>
      <c r="I24" s="117">
        <v>1451492.44</v>
      </c>
    </row>
    <row r="25" spans="1:9" ht="27.6" x14ac:dyDescent="0.3">
      <c r="A25" s="116">
        <v>16</v>
      </c>
      <c r="B25" s="116" t="s">
        <v>33</v>
      </c>
      <c r="C25" s="116">
        <v>7</v>
      </c>
      <c r="D25" s="116">
        <v>7</v>
      </c>
      <c r="E25" s="116">
        <v>0</v>
      </c>
      <c r="F25" s="116">
        <v>182</v>
      </c>
      <c r="G25" s="116">
        <v>26</v>
      </c>
      <c r="H25" s="117">
        <v>8400</v>
      </c>
      <c r="I25" s="117">
        <v>1528.8</v>
      </c>
    </row>
    <row r="26" spans="1:9" x14ac:dyDescent="0.3">
      <c r="A26" s="116">
        <v>17</v>
      </c>
      <c r="B26" s="116" t="s">
        <v>204</v>
      </c>
      <c r="C26" s="117">
        <v>13723.54</v>
      </c>
      <c r="D26" s="117">
        <v>13394.54</v>
      </c>
      <c r="E26" s="116">
        <v>329</v>
      </c>
      <c r="F26" s="117">
        <v>474637.35</v>
      </c>
      <c r="G26" s="116">
        <v>35.44</v>
      </c>
      <c r="H26" s="117">
        <v>11250.2</v>
      </c>
      <c r="I26" s="117">
        <v>5339766.71</v>
      </c>
    </row>
    <row r="27" spans="1:9" x14ac:dyDescent="0.3">
      <c r="A27" s="116">
        <v>18</v>
      </c>
      <c r="B27" s="116" t="s">
        <v>34</v>
      </c>
      <c r="C27" s="117">
        <v>18153</v>
      </c>
      <c r="D27" s="117">
        <v>18153</v>
      </c>
      <c r="E27" s="116">
        <v>0</v>
      </c>
      <c r="F27" s="117">
        <v>675256.17</v>
      </c>
      <c r="G27" s="116">
        <v>37.200000000000003</v>
      </c>
      <c r="H27" s="117">
        <v>8411.76</v>
      </c>
      <c r="I27" s="117">
        <v>5680095.7000000002</v>
      </c>
    </row>
    <row r="28" spans="1:9" x14ac:dyDescent="0.3">
      <c r="A28" s="116">
        <v>19</v>
      </c>
      <c r="B28" s="116" t="s">
        <v>35</v>
      </c>
      <c r="C28" s="116">
        <v>508</v>
      </c>
      <c r="D28" s="116">
        <v>508</v>
      </c>
      <c r="E28" s="116">
        <v>0</v>
      </c>
      <c r="F28" s="117">
        <v>9722.73</v>
      </c>
      <c r="G28" s="116">
        <v>19.14</v>
      </c>
      <c r="H28" s="117">
        <v>6606.97</v>
      </c>
      <c r="I28" s="117">
        <v>64237.75</v>
      </c>
    </row>
    <row r="29" spans="1:9" x14ac:dyDescent="0.3">
      <c r="A29" s="116">
        <v>20</v>
      </c>
      <c r="B29" s="116" t="s">
        <v>36</v>
      </c>
      <c r="C29" s="117">
        <v>6063.74</v>
      </c>
      <c r="D29" s="117">
        <v>6063.74</v>
      </c>
      <c r="E29" s="116">
        <v>0</v>
      </c>
      <c r="F29" s="117">
        <v>144161.73000000001</v>
      </c>
      <c r="G29" s="116">
        <v>23.77</v>
      </c>
      <c r="H29" s="117">
        <v>8593.7900000000009</v>
      </c>
      <c r="I29" s="117">
        <v>1238896.07</v>
      </c>
    </row>
    <row r="30" spans="1:9" x14ac:dyDescent="0.3">
      <c r="A30" s="116">
        <v>21</v>
      </c>
      <c r="B30" s="116" t="s">
        <v>37</v>
      </c>
      <c r="C30" s="116">
        <v>800</v>
      </c>
      <c r="D30" s="116">
        <v>800</v>
      </c>
      <c r="E30" s="116">
        <v>0</v>
      </c>
      <c r="F30" s="117">
        <v>35502.559999999998</v>
      </c>
      <c r="G30" s="116">
        <v>44.38</v>
      </c>
      <c r="H30" s="117">
        <v>8274.58</v>
      </c>
      <c r="I30" s="117">
        <v>293768.65999999997</v>
      </c>
    </row>
    <row r="31" spans="1:9" x14ac:dyDescent="0.3">
      <c r="A31" s="130" t="s">
        <v>38</v>
      </c>
      <c r="B31" s="131"/>
      <c r="C31" s="118">
        <v>65275.69</v>
      </c>
      <c r="D31" s="118">
        <v>64917.69</v>
      </c>
      <c r="E31" s="119">
        <v>358</v>
      </c>
      <c r="F31" s="118">
        <v>2123718.2000000002</v>
      </c>
      <c r="G31" s="119">
        <v>32.71</v>
      </c>
      <c r="H31" s="118">
        <v>9539</v>
      </c>
      <c r="I31" s="118">
        <v>20258144.32</v>
      </c>
    </row>
  </sheetData>
  <mergeCells count="6">
    <mergeCell ref="F7:F9"/>
    <mergeCell ref="A31:B31"/>
    <mergeCell ref="A7:A9"/>
    <mergeCell ref="B7:B9"/>
    <mergeCell ref="C7:E7"/>
    <mergeCell ref="C8:E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opLeftCell="A28" workbookViewId="0">
      <selection activeCell="O38" sqref="O38"/>
    </sheetView>
  </sheetViews>
  <sheetFormatPr defaultRowHeight="14.4" x14ac:dyDescent="0.3"/>
  <cols>
    <col min="3" max="4" width="10" bestFit="1" customWidth="1"/>
    <col min="6" max="6" width="11.44140625" bestFit="1" customWidth="1"/>
    <col min="9" max="9" width="12.44140625" bestFit="1" customWidth="1"/>
  </cols>
  <sheetData>
    <row r="1" spans="1:9" x14ac:dyDescent="0.3">
      <c r="A1" s="121" t="s">
        <v>0</v>
      </c>
      <c r="B1" s="120"/>
      <c r="C1" s="120"/>
      <c r="D1" s="120"/>
      <c r="E1" s="120"/>
      <c r="F1" s="120"/>
      <c r="G1" s="120"/>
      <c r="H1" s="120"/>
      <c r="I1" s="120"/>
    </row>
    <row r="2" spans="1:9" x14ac:dyDescent="0.3">
      <c r="A2" s="121" t="s">
        <v>1</v>
      </c>
      <c r="B2" s="120"/>
      <c r="C2" s="120"/>
      <c r="D2" s="120"/>
      <c r="E2" s="120"/>
      <c r="F2" s="120"/>
      <c r="G2" s="120"/>
      <c r="H2" s="120"/>
      <c r="I2" s="120"/>
    </row>
    <row r="3" spans="1:9" x14ac:dyDescent="0.3">
      <c r="A3" s="121" t="s">
        <v>2</v>
      </c>
      <c r="B3" s="120"/>
      <c r="C3" s="120"/>
      <c r="D3" s="120"/>
      <c r="E3" s="120"/>
      <c r="F3" s="120"/>
      <c r="G3" s="120"/>
      <c r="H3" s="120"/>
      <c r="I3" s="120"/>
    </row>
    <row r="4" spans="1:9" x14ac:dyDescent="0.3">
      <c r="A4" s="121" t="s">
        <v>3</v>
      </c>
      <c r="B4" s="120"/>
      <c r="C4" s="120"/>
      <c r="D4" s="120"/>
      <c r="E4" s="120"/>
      <c r="F4" s="120"/>
      <c r="G4" s="120"/>
      <c r="H4" s="120"/>
      <c r="I4" s="120"/>
    </row>
    <row r="5" spans="1:9" x14ac:dyDescent="0.3">
      <c r="A5" s="121" t="s">
        <v>226</v>
      </c>
      <c r="B5" s="120"/>
      <c r="C5" s="120"/>
      <c r="D5" s="120"/>
      <c r="E5" s="120"/>
      <c r="F5" s="120"/>
      <c r="G5" s="120"/>
      <c r="H5" s="120"/>
      <c r="I5" s="120"/>
    </row>
    <row r="7" spans="1:9" ht="27.6" x14ac:dyDescent="0.3">
      <c r="A7" s="132"/>
      <c r="B7" s="132" t="s">
        <v>5</v>
      </c>
      <c r="C7" s="135" t="s">
        <v>6</v>
      </c>
      <c r="D7" s="136"/>
      <c r="E7" s="137"/>
      <c r="F7" s="132" t="s">
        <v>8</v>
      </c>
      <c r="G7" s="122" t="s">
        <v>9</v>
      </c>
      <c r="H7" s="122" t="s">
        <v>11</v>
      </c>
      <c r="I7" s="122" t="s">
        <v>13</v>
      </c>
    </row>
    <row r="8" spans="1:9" ht="27.6" x14ac:dyDescent="0.3">
      <c r="A8" s="133"/>
      <c r="B8" s="133"/>
      <c r="C8" s="138" t="s">
        <v>7</v>
      </c>
      <c r="D8" s="139"/>
      <c r="E8" s="140"/>
      <c r="F8" s="133"/>
      <c r="G8" s="123" t="s">
        <v>10</v>
      </c>
      <c r="H8" s="123" t="s">
        <v>12</v>
      </c>
      <c r="I8" s="123" t="s">
        <v>14</v>
      </c>
    </row>
    <row r="9" spans="1:9" ht="27.6" x14ac:dyDescent="0.3">
      <c r="A9" s="134"/>
      <c r="B9" s="134"/>
      <c r="C9" s="125" t="s">
        <v>15</v>
      </c>
      <c r="D9" s="125" t="s">
        <v>16</v>
      </c>
      <c r="E9" s="125" t="s">
        <v>17</v>
      </c>
      <c r="F9" s="134"/>
      <c r="G9" s="124"/>
      <c r="H9" s="124"/>
      <c r="I9" s="124"/>
    </row>
    <row r="10" spans="1:9" ht="27.6" x14ac:dyDescent="0.3">
      <c r="A10" s="126">
        <v>1</v>
      </c>
      <c r="B10" s="126" t="s">
        <v>18</v>
      </c>
      <c r="C10" s="126">
        <v>816.21</v>
      </c>
      <c r="D10" s="126">
        <v>816.21</v>
      </c>
      <c r="E10" s="126">
        <v>0</v>
      </c>
      <c r="F10" s="127">
        <v>15344.7</v>
      </c>
      <c r="G10" s="126">
        <v>18.8</v>
      </c>
      <c r="H10" s="127">
        <v>8100.88</v>
      </c>
      <c r="I10" s="127">
        <v>124305.58</v>
      </c>
    </row>
    <row r="11" spans="1:9" ht="27.6" x14ac:dyDescent="0.3">
      <c r="A11" s="126">
        <v>2</v>
      </c>
      <c r="B11" s="126" t="s">
        <v>19</v>
      </c>
      <c r="C11" s="126">
        <v>358.5</v>
      </c>
      <c r="D11" s="126">
        <v>358.5</v>
      </c>
      <c r="E11" s="126">
        <v>0</v>
      </c>
      <c r="F11" s="127">
        <v>11910.98</v>
      </c>
      <c r="G11" s="126">
        <v>33.22</v>
      </c>
      <c r="H11" s="127">
        <v>11399.56</v>
      </c>
      <c r="I11" s="127">
        <v>135779.97</v>
      </c>
    </row>
    <row r="12" spans="1:9" ht="41.4" x14ac:dyDescent="0.3">
      <c r="A12" s="126">
        <v>3</v>
      </c>
      <c r="B12" s="126" t="s">
        <v>20</v>
      </c>
      <c r="C12" s="127">
        <v>1332.35</v>
      </c>
      <c r="D12" s="127">
        <v>1332.35</v>
      </c>
      <c r="E12" s="126">
        <v>0</v>
      </c>
      <c r="F12" s="127">
        <v>56827.040000000001</v>
      </c>
      <c r="G12" s="126">
        <v>42.65</v>
      </c>
      <c r="H12" s="127">
        <v>12153.36</v>
      </c>
      <c r="I12" s="127">
        <v>690639.61</v>
      </c>
    </row>
    <row r="13" spans="1:9" ht="27.6" x14ac:dyDescent="0.3">
      <c r="A13" s="126">
        <v>4</v>
      </c>
      <c r="B13" s="126" t="s">
        <v>206</v>
      </c>
      <c r="C13" s="126">
        <v>951.5</v>
      </c>
      <c r="D13" s="126">
        <v>951.5</v>
      </c>
      <c r="E13" s="126">
        <v>0</v>
      </c>
      <c r="F13" s="127">
        <v>8971.61</v>
      </c>
      <c r="G13" s="126">
        <v>9.43</v>
      </c>
      <c r="H13" s="127">
        <v>14924.79</v>
      </c>
      <c r="I13" s="127">
        <v>133899.37</v>
      </c>
    </row>
    <row r="14" spans="1:9" x14ac:dyDescent="0.3">
      <c r="A14" s="126">
        <v>5</v>
      </c>
      <c r="B14" s="126" t="s">
        <v>21</v>
      </c>
      <c r="C14" s="126">
        <v>375</v>
      </c>
      <c r="D14" s="126">
        <v>375</v>
      </c>
      <c r="E14" s="126">
        <v>0</v>
      </c>
      <c r="F14" s="127">
        <v>22864.48</v>
      </c>
      <c r="G14" s="126">
        <v>60.97</v>
      </c>
      <c r="H14" s="127">
        <v>16659.57</v>
      </c>
      <c r="I14" s="127">
        <v>380912.51</v>
      </c>
    </row>
    <row r="15" spans="1:9" x14ac:dyDescent="0.3">
      <c r="A15" s="126">
        <v>6</v>
      </c>
      <c r="B15" s="126" t="s">
        <v>202</v>
      </c>
      <c r="C15" s="126">
        <v>474.25</v>
      </c>
      <c r="D15" s="126">
        <v>474.25</v>
      </c>
      <c r="E15" s="126">
        <v>0</v>
      </c>
      <c r="F15" s="127">
        <v>17050.669999999998</v>
      </c>
      <c r="G15" s="126">
        <v>35.950000000000003</v>
      </c>
      <c r="H15" s="127">
        <v>7392.83</v>
      </c>
      <c r="I15" s="127">
        <v>126052.79</v>
      </c>
    </row>
    <row r="16" spans="1:9" x14ac:dyDescent="0.3">
      <c r="A16" s="126">
        <v>7</v>
      </c>
      <c r="B16" s="126" t="s">
        <v>203</v>
      </c>
      <c r="C16" s="127">
        <v>2964.47</v>
      </c>
      <c r="D16" s="127">
        <v>2964.47</v>
      </c>
      <c r="E16" s="126">
        <v>0</v>
      </c>
      <c r="F16" s="127">
        <v>18878.53</v>
      </c>
      <c r="G16" s="126">
        <v>6.37</v>
      </c>
      <c r="H16" s="127">
        <v>7244.05</v>
      </c>
      <c r="I16" s="127">
        <v>136756.99</v>
      </c>
    </row>
    <row r="17" spans="1:9" ht="27.6" x14ac:dyDescent="0.3">
      <c r="A17" s="126">
        <v>8</v>
      </c>
      <c r="B17" s="126" t="s">
        <v>22</v>
      </c>
      <c r="C17" s="127">
        <v>33692</v>
      </c>
      <c r="D17" s="127">
        <v>33692</v>
      </c>
      <c r="E17" s="126">
        <v>0</v>
      </c>
      <c r="F17" s="127">
        <v>677358.7</v>
      </c>
      <c r="G17" s="126">
        <v>20.100000000000001</v>
      </c>
      <c r="H17" s="127">
        <v>9888.57</v>
      </c>
      <c r="I17" s="127">
        <v>6698108.0700000003</v>
      </c>
    </row>
    <row r="18" spans="1:9" ht="27.6" x14ac:dyDescent="0.3">
      <c r="A18" s="126">
        <v>9</v>
      </c>
      <c r="B18" s="126" t="s">
        <v>207</v>
      </c>
      <c r="C18" s="126">
        <v>3.3</v>
      </c>
      <c r="D18" s="126">
        <v>3.3</v>
      </c>
      <c r="E18" s="126">
        <v>0</v>
      </c>
      <c r="F18" s="126">
        <v>19.350000000000001</v>
      </c>
      <c r="G18" s="126">
        <v>5.86</v>
      </c>
      <c r="H18" s="127">
        <v>10189.93</v>
      </c>
      <c r="I18" s="126">
        <v>197.18</v>
      </c>
    </row>
    <row r="19" spans="1:9" x14ac:dyDescent="0.3">
      <c r="A19" s="126">
        <v>10</v>
      </c>
      <c r="B19" s="126" t="s">
        <v>208</v>
      </c>
      <c r="C19" s="127">
        <v>3424.98</v>
      </c>
      <c r="D19" s="127">
        <v>3407.48</v>
      </c>
      <c r="E19" s="126">
        <v>17.5</v>
      </c>
      <c r="F19" s="127">
        <v>66191.429999999993</v>
      </c>
      <c r="G19" s="126">
        <v>19.43</v>
      </c>
      <c r="H19" s="127">
        <v>8709.43</v>
      </c>
      <c r="I19" s="127">
        <v>576489.9</v>
      </c>
    </row>
    <row r="20" spans="1:9" ht="27.6" x14ac:dyDescent="0.3">
      <c r="A20" s="126">
        <v>11</v>
      </c>
      <c r="B20" s="126" t="s">
        <v>23</v>
      </c>
      <c r="C20" s="127">
        <v>4649.38</v>
      </c>
      <c r="D20" s="127">
        <v>4649.38</v>
      </c>
      <c r="E20" s="126">
        <v>0</v>
      </c>
      <c r="F20" s="127">
        <v>136567.67999999999</v>
      </c>
      <c r="G20" s="126">
        <v>29.37</v>
      </c>
      <c r="H20" s="127">
        <v>14876.17</v>
      </c>
      <c r="I20" s="127">
        <v>2031603.44</v>
      </c>
    </row>
    <row r="21" spans="1:9" x14ac:dyDescent="0.3">
      <c r="A21" s="126">
        <v>12</v>
      </c>
      <c r="B21" s="126" t="s">
        <v>24</v>
      </c>
      <c r="C21" s="127">
        <v>1387.2</v>
      </c>
      <c r="D21" s="127">
        <v>1387.2</v>
      </c>
      <c r="E21" s="126">
        <v>0</v>
      </c>
      <c r="F21" s="127">
        <v>9464.1200000000008</v>
      </c>
      <c r="G21" s="126">
        <v>6.82</v>
      </c>
      <c r="H21" s="127">
        <v>10172.549999999999</v>
      </c>
      <c r="I21" s="127">
        <v>96274.19</v>
      </c>
    </row>
    <row r="22" spans="1:9" x14ac:dyDescent="0.3">
      <c r="A22" s="126">
        <v>13</v>
      </c>
      <c r="B22" s="126" t="s">
        <v>25</v>
      </c>
      <c r="C22" s="127">
        <v>1589.29</v>
      </c>
      <c r="D22" s="127">
        <v>1589.29</v>
      </c>
      <c r="E22" s="126">
        <v>0</v>
      </c>
      <c r="F22" s="127">
        <v>19583.71</v>
      </c>
      <c r="G22" s="126">
        <v>12.32</v>
      </c>
      <c r="H22" s="127">
        <v>17226.669999999998</v>
      </c>
      <c r="I22" s="127">
        <v>337362.03</v>
      </c>
    </row>
    <row r="23" spans="1:9" x14ac:dyDescent="0.3">
      <c r="A23" s="126">
        <v>14</v>
      </c>
      <c r="B23" s="126" t="s">
        <v>26</v>
      </c>
      <c r="C23" s="127">
        <v>4813.6499999999996</v>
      </c>
      <c r="D23" s="127">
        <v>4813.6499999999996</v>
      </c>
      <c r="E23" s="126">
        <v>0</v>
      </c>
      <c r="F23" s="127">
        <v>167836.79</v>
      </c>
      <c r="G23" s="126">
        <v>34.869999999999997</v>
      </c>
      <c r="H23" s="127">
        <v>16844.080000000002</v>
      </c>
      <c r="I23" s="127">
        <v>2827055.48</v>
      </c>
    </row>
    <row r="24" spans="1:9" x14ac:dyDescent="0.3">
      <c r="A24" s="126">
        <v>15</v>
      </c>
      <c r="B24" s="126" t="s">
        <v>209</v>
      </c>
      <c r="C24" s="126">
        <v>249.95</v>
      </c>
      <c r="D24" s="126">
        <v>249.95</v>
      </c>
      <c r="E24" s="126">
        <v>0</v>
      </c>
      <c r="F24" s="127">
        <v>8191.6</v>
      </c>
      <c r="G24" s="126">
        <v>32.770000000000003</v>
      </c>
      <c r="H24" s="127">
        <v>9810.7099999999991</v>
      </c>
      <c r="I24" s="127">
        <v>80365.42</v>
      </c>
    </row>
    <row r="25" spans="1:9" ht="27.6" x14ac:dyDescent="0.3">
      <c r="A25" s="126">
        <v>16</v>
      </c>
      <c r="B25" s="126" t="s">
        <v>27</v>
      </c>
      <c r="C25" s="127">
        <v>4323.6000000000004</v>
      </c>
      <c r="D25" s="127">
        <v>4323.6000000000004</v>
      </c>
      <c r="E25" s="126">
        <v>0</v>
      </c>
      <c r="F25" s="127">
        <v>127744.59</v>
      </c>
      <c r="G25" s="126">
        <v>29.55</v>
      </c>
      <c r="H25" s="127">
        <v>11246.62</v>
      </c>
      <c r="I25" s="127">
        <v>1436694.39</v>
      </c>
    </row>
    <row r="26" spans="1:9" x14ac:dyDescent="0.3">
      <c r="A26" s="126">
        <v>17</v>
      </c>
      <c r="B26" s="126" t="s">
        <v>210</v>
      </c>
      <c r="C26" s="126">
        <v>118.5</v>
      </c>
      <c r="D26" s="126">
        <v>118.5</v>
      </c>
      <c r="E26" s="126">
        <v>0</v>
      </c>
      <c r="F26" s="127">
        <v>1348.94</v>
      </c>
      <c r="G26" s="126">
        <v>11.38</v>
      </c>
      <c r="H26" s="127">
        <v>7884.65</v>
      </c>
      <c r="I26" s="127">
        <v>10635.92</v>
      </c>
    </row>
    <row r="27" spans="1:9" x14ac:dyDescent="0.3">
      <c r="A27" s="126">
        <v>18</v>
      </c>
      <c r="B27" s="126" t="s">
        <v>28</v>
      </c>
      <c r="C27" s="126">
        <v>511.75</v>
      </c>
      <c r="D27" s="126">
        <v>511.75</v>
      </c>
      <c r="E27" s="126">
        <v>0</v>
      </c>
      <c r="F27" s="127">
        <v>8676.74</v>
      </c>
      <c r="G27" s="126">
        <v>16.96</v>
      </c>
      <c r="H27" s="127">
        <v>18390.099999999999</v>
      </c>
      <c r="I27" s="127">
        <v>159566.09</v>
      </c>
    </row>
    <row r="28" spans="1:9" ht="27.6" x14ac:dyDescent="0.3">
      <c r="A28" s="126">
        <v>19</v>
      </c>
      <c r="B28" s="126" t="s">
        <v>29</v>
      </c>
      <c r="C28" s="126">
        <v>343.1</v>
      </c>
      <c r="D28" s="126">
        <v>140</v>
      </c>
      <c r="E28" s="126">
        <v>203.1</v>
      </c>
      <c r="F28" s="127">
        <v>3685.6</v>
      </c>
      <c r="G28" s="126">
        <v>26.33</v>
      </c>
      <c r="H28" s="127">
        <v>5726.34</v>
      </c>
      <c r="I28" s="127">
        <v>21105</v>
      </c>
    </row>
    <row r="29" spans="1:9" x14ac:dyDescent="0.3">
      <c r="A29" s="126">
        <v>20</v>
      </c>
      <c r="B29" s="126" t="s">
        <v>30</v>
      </c>
      <c r="C29" s="127">
        <v>2205.4499999999998</v>
      </c>
      <c r="D29" s="127">
        <v>2205.4499999999998</v>
      </c>
      <c r="E29" s="126">
        <v>0</v>
      </c>
      <c r="F29" s="127">
        <v>9099.11</v>
      </c>
      <c r="G29" s="126">
        <v>4.13</v>
      </c>
      <c r="H29" s="127">
        <v>16188.96</v>
      </c>
      <c r="I29" s="127">
        <v>147305.17000000001</v>
      </c>
    </row>
    <row r="30" spans="1:9" x14ac:dyDescent="0.3">
      <c r="A30" s="126">
        <v>21</v>
      </c>
      <c r="B30" s="126" t="s">
        <v>31</v>
      </c>
      <c r="C30" s="127">
        <v>2998.25</v>
      </c>
      <c r="D30" s="127">
        <v>2998.25</v>
      </c>
      <c r="E30" s="126">
        <v>0</v>
      </c>
      <c r="F30" s="127">
        <v>22120.62</v>
      </c>
      <c r="G30" s="126">
        <v>7.38</v>
      </c>
      <c r="H30" s="127">
        <v>12932.58</v>
      </c>
      <c r="I30" s="127">
        <v>286076.78000000003</v>
      </c>
    </row>
    <row r="31" spans="1:9" x14ac:dyDescent="0.3">
      <c r="A31" s="126">
        <v>22</v>
      </c>
      <c r="B31" s="126" t="s">
        <v>32</v>
      </c>
      <c r="C31" s="126">
        <v>761.68</v>
      </c>
      <c r="D31" s="126">
        <v>761.68</v>
      </c>
      <c r="E31" s="126">
        <v>0</v>
      </c>
      <c r="F31" s="127">
        <v>39352.51</v>
      </c>
      <c r="G31" s="126">
        <v>51.67</v>
      </c>
      <c r="H31" s="127">
        <v>15913.68</v>
      </c>
      <c r="I31" s="127">
        <v>626243.27</v>
      </c>
    </row>
    <row r="32" spans="1:9" ht="27.6" x14ac:dyDescent="0.3">
      <c r="A32" s="126">
        <v>23</v>
      </c>
      <c r="B32" s="126" t="s">
        <v>211</v>
      </c>
      <c r="C32" s="126">
        <v>222.8</v>
      </c>
      <c r="D32" s="126">
        <v>222.8</v>
      </c>
      <c r="E32" s="126">
        <v>0</v>
      </c>
      <c r="F32" s="127">
        <v>2363.39</v>
      </c>
      <c r="G32" s="126">
        <v>10.61</v>
      </c>
      <c r="H32" s="127">
        <v>16068.29</v>
      </c>
      <c r="I32" s="127">
        <v>37975.629999999997</v>
      </c>
    </row>
    <row r="33" spans="1:9" ht="27.6" x14ac:dyDescent="0.3">
      <c r="A33" s="126">
        <v>24</v>
      </c>
      <c r="B33" s="126" t="s">
        <v>33</v>
      </c>
      <c r="C33" s="127">
        <v>24610.5</v>
      </c>
      <c r="D33" s="127">
        <v>24610.5</v>
      </c>
      <c r="E33" s="126">
        <v>0</v>
      </c>
      <c r="F33" s="127">
        <v>358763.98</v>
      </c>
      <c r="G33" s="126">
        <v>14.58</v>
      </c>
      <c r="H33" s="127">
        <v>16342.47</v>
      </c>
      <c r="I33" s="127">
        <v>5863089.2199999997</v>
      </c>
    </row>
    <row r="34" spans="1:9" x14ac:dyDescent="0.3">
      <c r="A34" s="126">
        <v>25</v>
      </c>
      <c r="B34" s="126" t="s">
        <v>204</v>
      </c>
      <c r="C34" s="127">
        <v>15551.05</v>
      </c>
      <c r="D34" s="127">
        <v>15316.05</v>
      </c>
      <c r="E34" s="126">
        <v>235</v>
      </c>
      <c r="F34" s="127">
        <v>753783.89</v>
      </c>
      <c r="G34" s="126">
        <v>49.22</v>
      </c>
      <c r="H34" s="127">
        <v>11119.36</v>
      </c>
      <c r="I34" s="127">
        <v>8381596.0300000003</v>
      </c>
    </row>
    <row r="35" spans="1:9" x14ac:dyDescent="0.3">
      <c r="A35" s="126">
        <v>26</v>
      </c>
      <c r="B35" s="126" t="s">
        <v>34</v>
      </c>
      <c r="C35" s="127">
        <v>3198.85</v>
      </c>
      <c r="D35" s="127">
        <v>3198.85</v>
      </c>
      <c r="E35" s="126">
        <v>0</v>
      </c>
      <c r="F35" s="127">
        <v>135209.62</v>
      </c>
      <c r="G35" s="126">
        <v>42.27</v>
      </c>
      <c r="H35" s="127">
        <v>10444.719999999999</v>
      </c>
      <c r="I35" s="127">
        <v>1412227.06</v>
      </c>
    </row>
    <row r="36" spans="1:9" x14ac:dyDescent="0.3">
      <c r="A36" s="126">
        <v>27</v>
      </c>
      <c r="B36" s="126" t="s">
        <v>212</v>
      </c>
      <c r="C36" s="127">
        <v>1063</v>
      </c>
      <c r="D36" s="127">
        <v>1063</v>
      </c>
      <c r="E36" s="126">
        <v>0</v>
      </c>
      <c r="F36" s="127">
        <v>6237.01</v>
      </c>
      <c r="G36" s="126">
        <v>5.87</v>
      </c>
      <c r="H36" s="127">
        <v>20069.29</v>
      </c>
      <c r="I36" s="127">
        <v>125172.38</v>
      </c>
    </row>
    <row r="37" spans="1:9" ht="27.6" x14ac:dyDescent="0.3">
      <c r="A37" s="126">
        <v>28</v>
      </c>
      <c r="B37" s="126" t="s">
        <v>213</v>
      </c>
      <c r="C37" s="126">
        <v>718.5</v>
      </c>
      <c r="D37" s="126">
        <v>688.5</v>
      </c>
      <c r="E37" s="126">
        <v>30</v>
      </c>
      <c r="F37" s="127">
        <v>21325.97</v>
      </c>
      <c r="G37" s="126">
        <v>30.97</v>
      </c>
      <c r="H37" s="127">
        <v>14900.8</v>
      </c>
      <c r="I37" s="127">
        <v>317774.12</v>
      </c>
    </row>
    <row r="38" spans="1:9" x14ac:dyDescent="0.3">
      <c r="A38" s="126">
        <v>29</v>
      </c>
      <c r="B38" s="126" t="s">
        <v>35</v>
      </c>
      <c r="C38" s="126">
        <v>10</v>
      </c>
      <c r="D38" s="126">
        <v>10</v>
      </c>
      <c r="E38" s="126">
        <v>0</v>
      </c>
      <c r="F38" s="126">
        <v>93</v>
      </c>
      <c r="G38" s="126">
        <v>9.3000000000000007</v>
      </c>
      <c r="H38" s="127">
        <v>12892.5</v>
      </c>
      <c r="I38" s="127">
        <v>1199</v>
      </c>
    </row>
    <row r="39" spans="1:9" x14ac:dyDescent="0.3">
      <c r="A39" s="126">
        <v>30</v>
      </c>
      <c r="B39" s="126" t="s">
        <v>36</v>
      </c>
      <c r="C39" s="127">
        <v>5964.07</v>
      </c>
      <c r="D39" s="127">
        <v>5964.07</v>
      </c>
      <c r="E39" s="126">
        <v>0</v>
      </c>
      <c r="F39" s="127">
        <v>45068.82</v>
      </c>
      <c r="G39" s="126">
        <v>7.56</v>
      </c>
      <c r="H39" s="127">
        <v>12255.52</v>
      </c>
      <c r="I39" s="127">
        <v>552341.62</v>
      </c>
    </row>
    <row r="40" spans="1:9" x14ac:dyDescent="0.3">
      <c r="A40" s="126">
        <v>31</v>
      </c>
      <c r="B40" s="126" t="s">
        <v>214</v>
      </c>
      <c r="C40" s="126">
        <v>607.23</v>
      </c>
      <c r="D40" s="126">
        <v>607.23</v>
      </c>
      <c r="E40" s="126">
        <v>0</v>
      </c>
      <c r="F40" s="127">
        <v>7232.24</v>
      </c>
      <c r="G40" s="126">
        <v>11.91</v>
      </c>
      <c r="H40" s="127">
        <v>26091.67</v>
      </c>
      <c r="I40" s="127">
        <v>188701.2</v>
      </c>
    </row>
    <row r="41" spans="1:9" x14ac:dyDescent="0.3">
      <c r="A41" s="126">
        <v>32</v>
      </c>
      <c r="B41" s="126" t="s">
        <v>37</v>
      </c>
      <c r="C41" s="127">
        <v>36931.24</v>
      </c>
      <c r="D41" s="127">
        <v>36926.239999999998</v>
      </c>
      <c r="E41" s="126">
        <v>5</v>
      </c>
      <c r="F41" s="127">
        <v>441261.04</v>
      </c>
      <c r="G41" s="126">
        <v>11.95</v>
      </c>
      <c r="H41" s="127">
        <v>13290.16</v>
      </c>
      <c r="I41" s="127">
        <v>5864429.3499999996</v>
      </c>
    </row>
    <row r="42" spans="1:9" x14ac:dyDescent="0.3">
      <c r="A42" s="130" t="s">
        <v>38</v>
      </c>
      <c r="B42" s="131"/>
      <c r="C42" s="128">
        <v>157221.6</v>
      </c>
      <c r="D42" s="128">
        <v>156731</v>
      </c>
      <c r="E42" s="129">
        <v>490.6</v>
      </c>
      <c r="F42" s="128">
        <v>3220428.46</v>
      </c>
      <c r="G42" s="129">
        <v>20.55</v>
      </c>
      <c r="H42" s="128">
        <v>12361.07</v>
      </c>
      <c r="I42" s="128">
        <v>39807934.75</v>
      </c>
    </row>
  </sheetData>
  <mergeCells count="6">
    <mergeCell ref="F7:F9"/>
    <mergeCell ref="A42:B42"/>
    <mergeCell ref="A7:A9"/>
    <mergeCell ref="B7:B9"/>
    <mergeCell ref="C7:E7"/>
    <mergeCell ref="C8:E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9"/>
  <sheetViews>
    <sheetView topLeftCell="A31" workbookViewId="0">
      <selection activeCell="A35" sqref="A35"/>
    </sheetView>
  </sheetViews>
  <sheetFormatPr defaultRowHeight="14.4" x14ac:dyDescent="0.3"/>
  <sheetData>
    <row r="1" spans="1:1" x14ac:dyDescent="0.3">
      <c r="A1" s="6" t="s">
        <v>40</v>
      </c>
    </row>
    <row r="2" spans="1:1" x14ac:dyDescent="0.3">
      <c r="A2" s="6" t="s">
        <v>41</v>
      </c>
    </row>
    <row r="3" spans="1:1" x14ac:dyDescent="0.3">
      <c r="A3" s="6" t="s">
        <v>42</v>
      </c>
    </row>
    <row r="4" spans="1:1" x14ac:dyDescent="0.3">
      <c r="A4" s="6" t="s">
        <v>43</v>
      </c>
    </row>
    <row r="5" spans="1:1" x14ac:dyDescent="0.3">
      <c r="A5" s="6" t="s">
        <v>44</v>
      </c>
    </row>
    <row r="6" spans="1:1" x14ac:dyDescent="0.3">
      <c r="A6" s="6" t="s">
        <v>45</v>
      </c>
    </row>
    <row r="7" spans="1:1" x14ac:dyDescent="0.3">
      <c r="A7" s="6" t="s">
        <v>46</v>
      </c>
    </row>
    <row r="8" spans="1:1" x14ac:dyDescent="0.3">
      <c r="A8" s="6" t="s">
        <v>47</v>
      </c>
    </row>
    <row r="9" spans="1:1" x14ac:dyDescent="0.3">
      <c r="A9" s="6" t="s">
        <v>48</v>
      </c>
    </row>
    <row r="10" spans="1:1" x14ac:dyDescent="0.3">
      <c r="A10" s="6" t="s">
        <v>49</v>
      </c>
    </row>
    <row r="11" spans="1:1" ht="27.6" x14ac:dyDescent="0.3">
      <c r="A11" s="6" t="s">
        <v>50</v>
      </c>
    </row>
    <row r="12" spans="1:1" ht="27.6" x14ac:dyDescent="0.3">
      <c r="A12" s="6" t="s">
        <v>51</v>
      </c>
    </row>
    <row r="13" spans="1:1" x14ac:dyDescent="0.3">
      <c r="A13" s="6" t="s">
        <v>52</v>
      </c>
    </row>
    <row r="14" spans="1:1" x14ac:dyDescent="0.3">
      <c r="A14" s="6" t="s">
        <v>53</v>
      </c>
    </row>
    <row r="15" spans="1:1" x14ac:dyDescent="0.3">
      <c r="A15" s="6" t="s">
        <v>54</v>
      </c>
    </row>
    <row r="16" spans="1:1" ht="27.6" x14ac:dyDescent="0.3">
      <c r="A16" s="6" t="s">
        <v>55</v>
      </c>
    </row>
    <row r="17" spans="1:1" ht="41.4" x14ac:dyDescent="0.3">
      <c r="A17" s="6" t="s">
        <v>56</v>
      </c>
    </row>
    <row r="18" spans="1:1" ht="27.6" x14ac:dyDescent="0.3">
      <c r="A18" s="6" t="s">
        <v>57</v>
      </c>
    </row>
    <row r="19" spans="1:1" x14ac:dyDescent="0.3">
      <c r="A19" s="6" t="s">
        <v>58</v>
      </c>
    </row>
    <row r="20" spans="1:1" x14ac:dyDescent="0.3">
      <c r="A20" s="6" t="s">
        <v>59</v>
      </c>
    </row>
    <row r="21" spans="1:1" x14ac:dyDescent="0.3">
      <c r="A21" s="6" t="s">
        <v>60</v>
      </c>
    </row>
    <row r="22" spans="1:1" ht="27.6" x14ac:dyDescent="0.3">
      <c r="A22" s="6" t="s">
        <v>61</v>
      </c>
    </row>
    <row r="23" spans="1:1" x14ac:dyDescent="0.3">
      <c r="A23" s="6" t="s">
        <v>62</v>
      </c>
    </row>
    <row r="24" spans="1:1" ht="27.6" x14ac:dyDescent="0.3">
      <c r="A24" s="6" t="s">
        <v>63</v>
      </c>
    </row>
    <row r="25" spans="1:1" x14ac:dyDescent="0.3">
      <c r="A25" s="6" t="s">
        <v>64</v>
      </c>
    </row>
    <row r="26" spans="1:1" x14ac:dyDescent="0.3">
      <c r="A26" s="6" t="s">
        <v>65</v>
      </c>
    </row>
    <row r="27" spans="1:1" ht="41.4" x14ac:dyDescent="0.3">
      <c r="A27" s="6" t="s">
        <v>66</v>
      </c>
    </row>
    <row r="28" spans="1:1" x14ac:dyDescent="0.3">
      <c r="A28" s="6" t="s">
        <v>67</v>
      </c>
    </row>
    <row r="29" spans="1:1" x14ac:dyDescent="0.3">
      <c r="A29" s="6" t="s">
        <v>68</v>
      </c>
    </row>
    <row r="30" spans="1:1" ht="27.6" x14ac:dyDescent="0.3">
      <c r="A30" s="6" t="s">
        <v>69</v>
      </c>
    </row>
    <row r="31" spans="1:1" ht="27.6" x14ac:dyDescent="0.3">
      <c r="A31" s="6" t="s">
        <v>70</v>
      </c>
    </row>
    <row r="32" spans="1:1" ht="41.4" x14ac:dyDescent="0.3">
      <c r="A32" s="6" t="s">
        <v>71</v>
      </c>
    </row>
    <row r="33" spans="1:1" ht="41.4" x14ac:dyDescent="0.3">
      <c r="A33" s="6" t="s">
        <v>72</v>
      </c>
    </row>
    <row r="34" spans="1:1" ht="27.6" x14ac:dyDescent="0.3">
      <c r="A34" s="6" t="s">
        <v>73</v>
      </c>
    </row>
    <row r="35" spans="1:1" x14ac:dyDescent="0.3">
      <c r="A35" s="6" t="s">
        <v>74</v>
      </c>
    </row>
    <row r="36" spans="1:1" ht="27.6" x14ac:dyDescent="0.3">
      <c r="A36" s="6" t="s">
        <v>75</v>
      </c>
    </row>
    <row r="37" spans="1:1" x14ac:dyDescent="0.3">
      <c r="A37" s="6" t="s">
        <v>76</v>
      </c>
    </row>
    <row r="38" spans="1:1" ht="27.6" x14ac:dyDescent="0.3">
      <c r="A38" s="6" t="s">
        <v>77</v>
      </c>
    </row>
    <row r="39" spans="1:1" x14ac:dyDescent="0.3">
      <c r="A39" s="6" t="s">
        <v>78</v>
      </c>
    </row>
    <row r="40" spans="1:1" x14ac:dyDescent="0.3">
      <c r="A40" s="6" t="s">
        <v>79</v>
      </c>
    </row>
    <row r="41" spans="1:1" x14ac:dyDescent="0.3">
      <c r="A41" s="6" t="s">
        <v>80</v>
      </c>
    </row>
    <row r="42" spans="1:1" ht="27.6" x14ac:dyDescent="0.3">
      <c r="A42" s="6" t="s">
        <v>81</v>
      </c>
    </row>
    <row r="43" spans="1:1" ht="27.6" x14ac:dyDescent="0.3">
      <c r="A43" s="6" t="s">
        <v>82</v>
      </c>
    </row>
    <row r="44" spans="1:1" x14ac:dyDescent="0.3">
      <c r="A44" s="6" t="s">
        <v>83</v>
      </c>
    </row>
    <row r="45" spans="1:1" x14ac:dyDescent="0.3">
      <c r="A45" s="6" t="s">
        <v>84</v>
      </c>
    </row>
    <row r="46" spans="1:1" x14ac:dyDescent="0.3">
      <c r="A46" s="6" t="s">
        <v>85</v>
      </c>
    </row>
    <row r="47" spans="1:1" ht="27.6" x14ac:dyDescent="0.3">
      <c r="A47" s="6" t="s">
        <v>86</v>
      </c>
    </row>
    <row r="48" spans="1:1" ht="27.6" x14ac:dyDescent="0.3">
      <c r="A48" s="6" t="s">
        <v>87</v>
      </c>
    </row>
    <row r="49" spans="1:1" ht="27.6" x14ac:dyDescent="0.3">
      <c r="A49" s="6" t="s">
        <v>88</v>
      </c>
    </row>
    <row r="50" spans="1:1" x14ac:dyDescent="0.3">
      <c r="A50" s="6" t="s">
        <v>89</v>
      </c>
    </row>
    <row r="51" spans="1:1" x14ac:dyDescent="0.3">
      <c r="A51" s="6" t="s">
        <v>90</v>
      </c>
    </row>
    <row r="52" spans="1:1" x14ac:dyDescent="0.3">
      <c r="A52" s="6" t="s">
        <v>91</v>
      </c>
    </row>
    <row r="53" spans="1:1" x14ac:dyDescent="0.3">
      <c r="A53" s="6" t="s">
        <v>92</v>
      </c>
    </row>
    <row r="54" spans="1:1" x14ac:dyDescent="0.3">
      <c r="A54" s="6" t="s">
        <v>93</v>
      </c>
    </row>
    <row r="55" spans="1:1" x14ac:dyDescent="0.3">
      <c r="A55" s="6" t="s">
        <v>94</v>
      </c>
    </row>
    <row r="56" spans="1:1" x14ac:dyDescent="0.3">
      <c r="A56" s="6" t="s">
        <v>95</v>
      </c>
    </row>
    <row r="57" spans="1:1" x14ac:dyDescent="0.3">
      <c r="A57" s="6" t="s">
        <v>96</v>
      </c>
    </row>
    <row r="58" spans="1:1" x14ac:dyDescent="0.3">
      <c r="A58" s="6" t="s">
        <v>97</v>
      </c>
    </row>
    <row r="59" spans="1:1" x14ac:dyDescent="0.3">
      <c r="A59" s="6" t="s">
        <v>98</v>
      </c>
    </row>
    <row r="60" spans="1:1" x14ac:dyDescent="0.3">
      <c r="A60" s="6" t="s">
        <v>99</v>
      </c>
    </row>
    <row r="61" spans="1:1" ht="27.6" x14ac:dyDescent="0.3">
      <c r="A61" s="6" t="s">
        <v>100</v>
      </c>
    </row>
    <row r="62" spans="1:1" x14ac:dyDescent="0.3">
      <c r="A62" s="6" t="s">
        <v>101</v>
      </c>
    </row>
    <row r="63" spans="1:1" x14ac:dyDescent="0.3">
      <c r="A63" s="6" t="s">
        <v>102</v>
      </c>
    </row>
    <row r="64" spans="1:1" ht="27.6" x14ac:dyDescent="0.3">
      <c r="A64" s="6" t="s">
        <v>103</v>
      </c>
    </row>
    <row r="65" spans="1:1" ht="27.6" x14ac:dyDescent="0.3">
      <c r="A65" s="6" t="s">
        <v>104</v>
      </c>
    </row>
    <row r="66" spans="1:1" ht="27.6" x14ac:dyDescent="0.3">
      <c r="A66" s="6" t="s">
        <v>105</v>
      </c>
    </row>
    <row r="67" spans="1:1" ht="27.6" x14ac:dyDescent="0.3">
      <c r="A67" s="6" t="s">
        <v>106</v>
      </c>
    </row>
    <row r="68" spans="1:1" ht="27.6" x14ac:dyDescent="0.3">
      <c r="A68" s="6" t="s">
        <v>107</v>
      </c>
    </row>
    <row r="69" spans="1:1" x14ac:dyDescent="0.3">
      <c r="A69" s="6" t="s">
        <v>108</v>
      </c>
    </row>
    <row r="70" spans="1:1" x14ac:dyDescent="0.3">
      <c r="A70" s="6" t="s">
        <v>109</v>
      </c>
    </row>
    <row r="71" spans="1:1" ht="27.6" x14ac:dyDescent="0.3">
      <c r="A71" s="6" t="s">
        <v>110</v>
      </c>
    </row>
    <row r="72" spans="1:1" ht="27.6" x14ac:dyDescent="0.3">
      <c r="A72" s="6" t="s">
        <v>111</v>
      </c>
    </row>
    <row r="73" spans="1:1" x14ac:dyDescent="0.3">
      <c r="A73" s="6" t="s">
        <v>112</v>
      </c>
    </row>
    <row r="74" spans="1:1" ht="27.6" x14ac:dyDescent="0.3">
      <c r="A74" s="6" t="s">
        <v>113</v>
      </c>
    </row>
    <row r="75" spans="1:1" ht="27.6" x14ac:dyDescent="0.3">
      <c r="A75" s="6" t="s">
        <v>114</v>
      </c>
    </row>
    <row r="76" spans="1:1" ht="27.6" x14ac:dyDescent="0.3">
      <c r="A76" s="6" t="s">
        <v>115</v>
      </c>
    </row>
    <row r="77" spans="1:1" x14ac:dyDescent="0.3">
      <c r="A77" s="6" t="s">
        <v>116</v>
      </c>
    </row>
    <row r="78" spans="1:1" ht="55.2" x14ac:dyDescent="0.3">
      <c r="A78" s="6" t="s">
        <v>117</v>
      </c>
    </row>
    <row r="79" spans="1:1" x14ac:dyDescent="0.3">
      <c r="A79" s="6" t="s">
        <v>118</v>
      </c>
    </row>
    <row r="80" spans="1:1" ht="27.6" x14ac:dyDescent="0.3">
      <c r="A80" s="6" t="s">
        <v>119</v>
      </c>
    </row>
    <row r="81" spans="1:1" x14ac:dyDescent="0.3">
      <c r="A81" s="6" t="s">
        <v>120</v>
      </c>
    </row>
    <row r="82" spans="1:1" x14ac:dyDescent="0.3">
      <c r="A82" s="6" t="s">
        <v>121</v>
      </c>
    </row>
    <row r="83" spans="1:1" x14ac:dyDescent="0.3">
      <c r="A83" s="6" t="s">
        <v>122</v>
      </c>
    </row>
    <row r="84" spans="1:1" x14ac:dyDescent="0.3">
      <c r="A84" s="6" t="s">
        <v>123</v>
      </c>
    </row>
    <row r="85" spans="1:1" x14ac:dyDescent="0.3">
      <c r="A85" s="6" t="s">
        <v>124</v>
      </c>
    </row>
    <row r="86" spans="1:1" x14ac:dyDescent="0.3">
      <c r="A86" s="6" t="s">
        <v>125</v>
      </c>
    </row>
    <row r="87" spans="1:1" x14ac:dyDescent="0.3">
      <c r="A87" s="6" t="s">
        <v>126</v>
      </c>
    </row>
    <row r="88" spans="1:1" x14ac:dyDescent="0.3">
      <c r="A88" s="6" t="s">
        <v>127</v>
      </c>
    </row>
    <row r="89" spans="1:1" ht="27.6" x14ac:dyDescent="0.3">
      <c r="A89" s="6" t="s">
        <v>128</v>
      </c>
    </row>
    <row r="90" spans="1:1" x14ac:dyDescent="0.3">
      <c r="A90" s="6" t="s">
        <v>129</v>
      </c>
    </row>
    <row r="91" spans="1:1" x14ac:dyDescent="0.3">
      <c r="A91" s="6" t="s">
        <v>130</v>
      </c>
    </row>
    <row r="92" spans="1:1" ht="27.6" x14ac:dyDescent="0.3">
      <c r="A92" s="6" t="s">
        <v>131</v>
      </c>
    </row>
    <row r="93" spans="1:1" x14ac:dyDescent="0.3">
      <c r="A93" s="6" t="s">
        <v>132</v>
      </c>
    </row>
    <row r="94" spans="1:1" ht="27.6" x14ac:dyDescent="0.3">
      <c r="A94" s="6" t="s">
        <v>133</v>
      </c>
    </row>
    <row r="95" spans="1:1" ht="27.6" x14ac:dyDescent="0.3">
      <c r="A95" s="6" t="s">
        <v>134</v>
      </c>
    </row>
    <row r="96" spans="1:1" ht="27.6" x14ac:dyDescent="0.3">
      <c r="A96" s="6" t="s">
        <v>135</v>
      </c>
    </row>
    <row r="97" spans="1:1" ht="41.4" x14ac:dyDescent="0.3">
      <c r="A97" s="6" t="s">
        <v>136</v>
      </c>
    </row>
    <row r="98" spans="1:1" ht="27.6" x14ac:dyDescent="0.3">
      <c r="A98" s="6" t="s">
        <v>137</v>
      </c>
    </row>
    <row r="99" spans="1:1" ht="27.6" x14ac:dyDescent="0.3">
      <c r="A99" s="6" t="s">
        <v>138</v>
      </c>
    </row>
    <row r="100" spans="1:1" x14ac:dyDescent="0.3">
      <c r="A100" s="6" t="s">
        <v>139</v>
      </c>
    </row>
    <row r="101" spans="1:1" ht="27.6" x14ac:dyDescent="0.3">
      <c r="A101" s="6" t="s">
        <v>140</v>
      </c>
    </row>
    <row r="102" spans="1:1" x14ac:dyDescent="0.3">
      <c r="A102" s="6" t="s">
        <v>141</v>
      </c>
    </row>
    <row r="103" spans="1:1" x14ac:dyDescent="0.3">
      <c r="A103" s="6" t="s">
        <v>142</v>
      </c>
    </row>
    <row r="104" spans="1:1" ht="27.6" x14ac:dyDescent="0.3">
      <c r="A104" s="6" t="s">
        <v>143</v>
      </c>
    </row>
    <row r="105" spans="1:1" x14ac:dyDescent="0.3">
      <c r="A105" s="6" t="s">
        <v>144</v>
      </c>
    </row>
    <row r="106" spans="1:1" x14ac:dyDescent="0.3">
      <c r="A106" s="6" t="s">
        <v>145</v>
      </c>
    </row>
    <row r="107" spans="1:1" ht="27.6" x14ac:dyDescent="0.3">
      <c r="A107" s="6" t="s">
        <v>146</v>
      </c>
    </row>
    <row r="108" spans="1:1" x14ac:dyDescent="0.3">
      <c r="A108" s="6" t="s">
        <v>147</v>
      </c>
    </row>
    <row r="109" spans="1:1" x14ac:dyDescent="0.3">
      <c r="A109" s="6" t="s">
        <v>148</v>
      </c>
    </row>
    <row r="110" spans="1:1" x14ac:dyDescent="0.3">
      <c r="A110" s="6" t="s">
        <v>149</v>
      </c>
    </row>
    <row r="111" spans="1:1" ht="27.6" x14ac:dyDescent="0.3">
      <c r="A111" s="6" t="s">
        <v>150</v>
      </c>
    </row>
    <row r="112" spans="1:1" x14ac:dyDescent="0.3">
      <c r="A112" s="6" t="s">
        <v>151</v>
      </c>
    </row>
    <row r="113" spans="1:1" x14ac:dyDescent="0.3">
      <c r="A113" s="6" t="s">
        <v>152</v>
      </c>
    </row>
    <row r="114" spans="1:1" x14ac:dyDescent="0.3">
      <c r="A114" s="6" t="s">
        <v>153</v>
      </c>
    </row>
    <row r="115" spans="1:1" x14ac:dyDescent="0.3">
      <c r="A115" s="6" t="s">
        <v>154</v>
      </c>
    </row>
    <row r="116" spans="1:1" ht="27.6" x14ac:dyDescent="0.3">
      <c r="A116" s="6" t="s">
        <v>155</v>
      </c>
    </row>
    <row r="117" spans="1:1" x14ac:dyDescent="0.3">
      <c r="A117" s="6" t="s">
        <v>156</v>
      </c>
    </row>
    <row r="118" spans="1:1" x14ac:dyDescent="0.3">
      <c r="A118" s="6" t="s">
        <v>157</v>
      </c>
    </row>
    <row r="119" spans="1:1" x14ac:dyDescent="0.3">
      <c r="A119" s="6" t="s">
        <v>158</v>
      </c>
    </row>
    <row r="120" spans="1:1" x14ac:dyDescent="0.3">
      <c r="A120" s="6" t="s">
        <v>159</v>
      </c>
    </row>
    <row r="121" spans="1:1" x14ac:dyDescent="0.3">
      <c r="A121" s="6" t="s">
        <v>160</v>
      </c>
    </row>
    <row r="122" spans="1:1" x14ac:dyDescent="0.3">
      <c r="A122" s="6" t="s">
        <v>161</v>
      </c>
    </row>
    <row r="123" spans="1:1" x14ac:dyDescent="0.3">
      <c r="A123" s="6" t="s">
        <v>162</v>
      </c>
    </row>
    <row r="124" spans="1:1" x14ac:dyDescent="0.3">
      <c r="A124" s="6" t="s">
        <v>163</v>
      </c>
    </row>
    <row r="125" spans="1:1" x14ac:dyDescent="0.3">
      <c r="A125" s="6" t="s">
        <v>164</v>
      </c>
    </row>
    <row r="126" spans="1:1" x14ac:dyDescent="0.3">
      <c r="A126" s="6" t="s">
        <v>165</v>
      </c>
    </row>
    <row r="127" spans="1:1" x14ac:dyDescent="0.3">
      <c r="A127" s="6" t="s">
        <v>166</v>
      </c>
    </row>
    <row r="128" spans="1:1" x14ac:dyDescent="0.3">
      <c r="A128" s="6" t="s">
        <v>167</v>
      </c>
    </row>
    <row r="129" spans="1:1" x14ac:dyDescent="0.3">
      <c r="A129" s="6" t="s">
        <v>168</v>
      </c>
    </row>
    <row r="130" spans="1:1" x14ac:dyDescent="0.3">
      <c r="A130" s="6" t="s">
        <v>169</v>
      </c>
    </row>
    <row r="131" spans="1:1" x14ac:dyDescent="0.3">
      <c r="A131" s="6" t="s">
        <v>170</v>
      </c>
    </row>
    <row r="132" spans="1:1" x14ac:dyDescent="0.3">
      <c r="A132" s="6" t="s">
        <v>171</v>
      </c>
    </row>
    <row r="133" spans="1:1" ht="27.6" x14ac:dyDescent="0.3">
      <c r="A133" s="6" t="s">
        <v>172</v>
      </c>
    </row>
    <row r="134" spans="1:1" x14ac:dyDescent="0.3">
      <c r="A134" s="6" t="s">
        <v>173</v>
      </c>
    </row>
    <row r="135" spans="1:1" ht="27.6" x14ac:dyDescent="0.3">
      <c r="A135" s="6" t="s">
        <v>174</v>
      </c>
    </row>
    <row r="136" spans="1:1" x14ac:dyDescent="0.3">
      <c r="A136" s="6" t="s">
        <v>175</v>
      </c>
    </row>
    <row r="137" spans="1:1" x14ac:dyDescent="0.3">
      <c r="A137" s="6" t="s">
        <v>176</v>
      </c>
    </row>
    <row r="138" spans="1:1" x14ac:dyDescent="0.3">
      <c r="A138" s="6" t="s">
        <v>177</v>
      </c>
    </row>
    <row r="139" spans="1:1" x14ac:dyDescent="0.3">
      <c r="A139" s="6" t="s">
        <v>178</v>
      </c>
    </row>
    <row r="140" spans="1:1" x14ac:dyDescent="0.3">
      <c r="A140" s="6" t="s">
        <v>179</v>
      </c>
    </row>
    <row r="141" spans="1:1" x14ac:dyDescent="0.3">
      <c r="A141" s="6" t="s">
        <v>180</v>
      </c>
    </row>
    <row r="142" spans="1:1" ht="27.6" x14ac:dyDescent="0.3">
      <c r="A142" s="6" t="s">
        <v>181</v>
      </c>
    </row>
    <row r="143" spans="1:1" x14ac:dyDescent="0.3">
      <c r="A143" s="6" t="s">
        <v>182</v>
      </c>
    </row>
    <row r="144" spans="1:1" x14ac:dyDescent="0.3">
      <c r="A144" s="6" t="s">
        <v>183</v>
      </c>
    </row>
    <row r="145" spans="1:1" ht="41.4" x14ac:dyDescent="0.3">
      <c r="A145" s="6" t="s">
        <v>184</v>
      </c>
    </row>
    <row r="146" spans="1:1" ht="27.6" x14ac:dyDescent="0.3">
      <c r="A146" s="6" t="s">
        <v>185</v>
      </c>
    </row>
    <row r="147" spans="1:1" x14ac:dyDescent="0.3">
      <c r="A147" s="6" t="s">
        <v>186</v>
      </c>
    </row>
    <row r="148" spans="1:1" ht="27.6" x14ac:dyDescent="0.3">
      <c r="A148" s="6" t="s">
        <v>187</v>
      </c>
    </row>
    <row r="149" spans="1:1" ht="41.4" x14ac:dyDescent="0.3">
      <c r="A149" s="6" t="s">
        <v>188</v>
      </c>
    </row>
    <row r="150" spans="1:1" ht="27.6" x14ac:dyDescent="0.3">
      <c r="A150" s="6" t="s">
        <v>189</v>
      </c>
    </row>
    <row r="151" spans="1:1" ht="41.4" x14ac:dyDescent="0.3">
      <c r="A151" s="6" t="s">
        <v>190</v>
      </c>
    </row>
    <row r="152" spans="1:1" x14ac:dyDescent="0.3">
      <c r="A152" s="6" t="s">
        <v>191</v>
      </c>
    </row>
    <row r="153" spans="1:1" x14ac:dyDescent="0.3">
      <c r="A153" s="6" t="s">
        <v>192</v>
      </c>
    </row>
    <row r="154" spans="1:1" x14ac:dyDescent="0.3">
      <c r="A154" s="6" t="s">
        <v>193</v>
      </c>
    </row>
    <row r="155" spans="1:1" x14ac:dyDescent="0.3">
      <c r="A155" s="6" t="s">
        <v>194</v>
      </c>
    </row>
    <row r="156" spans="1:1" ht="41.4" x14ac:dyDescent="0.3">
      <c r="A156" s="6" t="s">
        <v>195</v>
      </c>
    </row>
    <row r="157" spans="1:1" x14ac:dyDescent="0.3">
      <c r="A157" s="6" t="s">
        <v>196</v>
      </c>
    </row>
    <row r="158" spans="1:1" x14ac:dyDescent="0.3">
      <c r="A158" s="6" t="s">
        <v>197</v>
      </c>
    </row>
    <row r="159" spans="1:1" ht="27.6" x14ac:dyDescent="0.3">
      <c r="A159" s="6" t="s">
        <v>198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selection activeCell="A5" sqref="A5"/>
    </sheetView>
  </sheetViews>
  <sheetFormatPr defaultRowHeight="14.4" x14ac:dyDescent="0.3"/>
  <sheetData>
    <row r="1" spans="1:1" ht="41.4" x14ac:dyDescent="0.3">
      <c r="A1" s="6" t="s">
        <v>184</v>
      </c>
    </row>
    <row r="2" spans="1:1" x14ac:dyDescent="0.3">
      <c r="A2" s="6" t="s">
        <v>44</v>
      </c>
    </row>
    <row r="3" spans="1:1" x14ac:dyDescent="0.3">
      <c r="A3" s="6" t="s">
        <v>45</v>
      </c>
    </row>
    <row r="4" spans="1:1" x14ac:dyDescent="0.3">
      <c r="A4" s="6" t="s">
        <v>227</v>
      </c>
    </row>
    <row r="5" spans="1:1" x14ac:dyDescent="0.3">
      <c r="A5" s="6" t="s">
        <v>74</v>
      </c>
    </row>
    <row r="6" spans="1:1" x14ac:dyDescent="0.3">
      <c r="A6" s="6" t="s">
        <v>64</v>
      </c>
    </row>
    <row r="7" spans="1:1" x14ac:dyDescent="0.3">
      <c r="A7" s="6" t="s">
        <v>101</v>
      </c>
    </row>
    <row r="8" spans="1:1" x14ac:dyDescent="0.3">
      <c r="A8" s="6" t="s">
        <v>102</v>
      </c>
    </row>
    <row r="9" spans="1:1" x14ac:dyDescent="0.3">
      <c r="A9" s="6" t="s">
        <v>94</v>
      </c>
    </row>
    <row r="10" spans="1:1" x14ac:dyDescent="0.3">
      <c r="A10" s="6" t="s">
        <v>125</v>
      </c>
    </row>
    <row r="11" spans="1:1" ht="27.6" x14ac:dyDescent="0.3">
      <c r="A11" s="6" t="s">
        <v>137</v>
      </c>
    </row>
    <row r="12" spans="1:1" x14ac:dyDescent="0.3">
      <c r="A12" s="6" t="s">
        <v>141</v>
      </c>
    </row>
    <row r="13" spans="1:1" x14ac:dyDescent="0.3">
      <c r="A13" s="6" t="s">
        <v>152</v>
      </c>
    </row>
    <row r="14" spans="1:1" x14ac:dyDescent="0.3">
      <c r="A14" s="6" t="s">
        <v>159</v>
      </c>
    </row>
    <row r="15" spans="1:1" ht="27.6" x14ac:dyDescent="0.3">
      <c r="A15" s="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Ajo</vt:lpstr>
      <vt:lpstr>Tomate rojo</vt:lpstr>
      <vt:lpstr>Aguacate</vt:lpstr>
      <vt:lpstr>Cebolla</vt:lpstr>
      <vt:lpstr>Calabacita</vt:lpstr>
      <vt:lpstr>Fresa</vt:lpstr>
      <vt:lpstr>Frijol</vt:lpstr>
      <vt:lpstr>Elote</vt:lpstr>
      <vt:lpstr>Lenteja</vt:lpstr>
      <vt:lpstr>Limón</vt:lpstr>
      <vt:lpstr>Maiz</vt:lpstr>
      <vt:lpstr>Mango</vt:lpstr>
      <vt:lpstr>Naranja</vt:lpstr>
      <vt:lpstr>Papa</vt:lpstr>
      <vt:lpstr>Chile verde</vt:lpstr>
      <vt:lpstr>todos cultivos</vt:lpstr>
      <vt:lpstr>top 15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Dell-G3</dc:creator>
  <cp:lastModifiedBy>Dell-G3</cp:lastModifiedBy>
  <dcterms:created xsi:type="dcterms:W3CDTF">2026-03-14T15:14:31Z</dcterms:created>
  <dcterms:modified xsi:type="dcterms:W3CDTF">2026-03-16T14:48:24Z</dcterms:modified>
</cp:coreProperties>
</file>